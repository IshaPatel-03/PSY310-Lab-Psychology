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3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ishapatel/Desktop/PSY310_Lab/data/OrientationDiscrimination/"/>
    </mc:Choice>
  </mc:AlternateContent>
  <xr:revisionPtr revIDLastSave="0" documentId="8_{9170818F-3A29-2747-B422-32A22394093E}" xr6:coauthVersionLast="47" xr6:coauthVersionMax="47" xr10:uidLastSave="{00000000-0000-0000-0000-000000000000}"/>
  <bookViews>
    <workbookView xWindow="4420" yWindow="660" windowWidth="25820" windowHeight="17280" activeTab="1" xr2:uid="{9DCF6E8B-7710-D74E-8DA4-274A4F6748CA}"/>
  </bookViews>
  <sheets>
    <sheet name="Raw Data" sheetId="1" r:id="rId1"/>
    <sheet name="Analysi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O112" i="2" l="1"/>
  <c r="O110" i="2"/>
  <c r="O109" i="2"/>
  <c r="G103" i="2"/>
  <c r="H103" i="2"/>
  <c r="I103" i="2"/>
  <c r="F103" i="2"/>
  <c r="O111" i="2" l="1"/>
</calcChain>
</file>

<file path=xl/sharedStrings.xml><?xml version="1.0" encoding="utf-8"?>
<sst xmlns="http://schemas.openxmlformats.org/spreadsheetml/2006/main" count="1086" uniqueCount="72">
  <si>
    <t>thisN</t>
  </si>
  <si>
    <t>thisTrialN</t>
  </si>
  <si>
    <t>thisRepN</t>
  </si>
  <si>
    <t>key_resp.keys</t>
  </si>
  <si>
    <t>key_resp.corr</t>
  </si>
  <si>
    <t>key_resp.rt</t>
  </si>
  <si>
    <t>key_resp.duration</t>
  </si>
  <si>
    <t>tilt</t>
  </si>
  <si>
    <t>trials.thisRepN</t>
  </si>
  <si>
    <t>trials.thisTrialN</t>
  </si>
  <si>
    <t>trials.thisN</t>
  </si>
  <si>
    <t>trials.thisIndex</t>
  </si>
  <si>
    <t>thisRow.t</t>
  </si>
  <si>
    <t>notes</t>
  </si>
  <si>
    <t>piloting</t>
  </si>
  <si>
    <t>Instruction.started</t>
  </si>
  <si>
    <t>text.started</t>
  </si>
  <si>
    <t>ins_resp.started</t>
  </si>
  <si>
    <t>Instruction.stopped</t>
  </si>
  <si>
    <t>ins_resp.keys</t>
  </si>
  <si>
    <t>ins_resp.rt</t>
  </si>
  <si>
    <t>ins_resp.duration</t>
  </si>
  <si>
    <t>trial.started</t>
  </si>
  <si>
    <t>fixation.started</t>
  </si>
  <si>
    <t>key_resp.started</t>
  </si>
  <si>
    <t>fixation.stopped</t>
  </si>
  <si>
    <t>trial.stopped</t>
  </si>
  <si>
    <t>trials.key_resp.keys</t>
  </si>
  <si>
    <t>trials.key_resp.corr</t>
  </si>
  <si>
    <t>trials.key_resp.rt</t>
  </si>
  <si>
    <t>trials.key_resp.duration</t>
  </si>
  <si>
    <t>trials.tilt</t>
  </si>
  <si>
    <t>Thanks.started</t>
  </si>
  <si>
    <t>Thank.started</t>
  </si>
  <si>
    <t>Thank.stopped</t>
  </si>
  <si>
    <t>Thanks.stopped</t>
  </si>
  <si>
    <t>participant</t>
  </si>
  <si>
    <t>session</t>
  </si>
  <si>
    <t>date</t>
  </si>
  <si>
    <t>expName</t>
  </si>
  <si>
    <t>expVersion</t>
  </si>
  <si>
    <t>psychopyVersion</t>
  </si>
  <si>
    <t>frameRate</t>
  </si>
  <si>
    <t>expStart</t>
  </si>
  <si>
    <t>space</t>
  </si>
  <si>
    <t>None</t>
  </si>
  <si>
    <t>I-ODT</t>
  </si>
  <si>
    <t>2026-09-08_15h14.47.920</t>
  </si>
  <si>
    <t>OrientationDiscrimination</t>
  </si>
  <si>
    <t>2026.1.3</t>
  </si>
  <si>
    <t>2026-09-08 15h14.47.954900 +0530</t>
  </si>
  <si>
    <t>up</t>
  </si>
  <si>
    <t>down</t>
  </si>
  <si>
    <t>Hit</t>
  </si>
  <si>
    <t>Miss</t>
  </si>
  <si>
    <t>FA</t>
  </si>
  <si>
    <t>CR</t>
  </si>
  <si>
    <t>sum</t>
  </si>
  <si>
    <t>Respond Yes</t>
  </si>
  <si>
    <t>Respond No</t>
  </si>
  <si>
    <t xml:space="preserve">Signal Present </t>
  </si>
  <si>
    <t xml:space="preserve">Signal Absent </t>
  </si>
  <si>
    <t>False Alarm</t>
  </si>
  <si>
    <t>Correct Rejection (CR)</t>
  </si>
  <si>
    <t>Proportion Hit= Hit/Hit+Miss</t>
  </si>
  <si>
    <t>Proportion FA= FA/FA+CR</t>
  </si>
  <si>
    <t>d-prime= Z(prop hit)-Z(prop FA)</t>
  </si>
  <si>
    <t>c= -Z(prop hit)+Z(prop FA)/2</t>
  </si>
  <si>
    <t>If there is a minus sign in the formula, the interpretation is that a negative value of c indicates a bias to respond YES (liberal bias) and if the minus sign is omitted then the negative value of c indicates a bias to respond NO (conservative bias).</t>
  </si>
  <si>
    <t>Correct Rejection</t>
  </si>
  <si>
    <t xml:space="preserve">Hit </t>
  </si>
  <si>
    <t>No. of Trials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</si>
</sst>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12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1" fillId="0" borderId="0" xfId="0" applyFont="1"/>
    <xf numFmtId="0" fontId="3" fillId="0" borderId="1" xfId="0" applyFont="1" applyBorder="1"/>
    <xf numFmtId="0" fontId="1" fillId="0" borderId="1" xfId="0" applyFont="1" applyBorder="1"/>
    <xf numFmtId="0" fontId="2" fillId="3" borderId="1" xfId="0" applyFont="1" applyFill="1" applyBorder="1"/>
    <xf numFmtId="0" fontId="0" fillId="0" borderId="1" xfId="0" applyBorder="1"/>
    <xf numFmtId="0" fontId="0" fillId="2" borderId="1" xfId="0" applyFill="1" applyBorder="1"/>
    <xf numFmtId="0" fontId="0" fillId="3" borderId="1" xfId="0" applyFill="1" applyBorder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1" u="none" strike="noStrike" kern="1200" spc="0" baseline="0">
                <a:solidFill>
                  <a:schemeClr val="dk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i="1">
                <a:latin typeface="Times New Roman" panose="02020603050405020304" pitchFamily="18" charset="0"/>
                <a:cs typeface="Times New Roman" panose="02020603050405020304" pitchFamily="18" charset="0"/>
              </a:rPr>
              <a:t>Outcome of Trials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1" u="none" strike="noStrike" kern="1200" spc="0" baseline="0">
              <a:solidFill>
                <a:schemeClr val="dk1"/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Analysis!$E$125</c:f>
              <c:strCache>
                <c:ptCount val="1"/>
                <c:pt idx="0">
                  <c:v>No. of Trials</c:v>
                </c:pt>
              </c:strCache>
            </c:strRef>
          </c:tx>
          <c:spPr>
            <a:solidFill>
              <a:schemeClr val="bg2">
                <a:lumMod val="5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Analysis!$F$124:$I$124</c:f>
              <c:strCache>
                <c:ptCount val="4"/>
                <c:pt idx="0">
                  <c:v>Hit </c:v>
                </c:pt>
                <c:pt idx="1">
                  <c:v>Miss</c:v>
                </c:pt>
                <c:pt idx="2">
                  <c:v>False Alarm</c:v>
                </c:pt>
                <c:pt idx="3">
                  <c:v>Correct Rejection</c:v>
                </c:pt>
              </c:strCache>
            </c:strRef>
          </c:cat>
          <c:val>
            <c:numRef>
              <c:f>Analysis!$F$125:$I$125</c:f>
              <c:numCache>
                <c:formatCode>General</c:formatCode>
                <c:ptCount val="4"/>
                <c:pt idx="0">
                  <c:v>50</c:v>
                </c:pt>
                <c:pt idx="1">
                  <c:v>1</c:v>
                </c:pt>
                <c:pt idx="2">
                  <c:v>13</c:v>
                </c:pt>
                <c:pt idx="3">
                  <c:v>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604-9849-AA50-91FAF5F78D0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90254975"/>
        <c:axId val="1788037759"/>
      </c:barChart>
      <c:catAx>
        <c:axId val="1790254975"/>
        <c:scaling>
          <c:orientation val="minMax"/>
        </c:scaling>
        <c:delete val="0"/>
        <c:axPos val="b"/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Outcome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8037759"/>
        <c:crosses val="autoZero"/>
        <c:auto val="1"/>
        <c:lblAlgn val="ctr"/>
        <c:lblOffset val="100"/>
        <c:noMultiLvlLbl val="0"/>
      </c:catAx>
      <c:valAx>
        <c:axId val="178803775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1" u="none" strike="noStrike" kern="1200" baseline="0">
                    <a:solidFill>
                      <a:schemeClr val="dk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n-GB" i="1">
                    <a:latin typeface="Times New Roman" panose="02020603050405020304" pitchFamily="18" charset="0"/>
                    <a:cs typeface="Times New Roman" panose="02020603050405020304" pitchFamily="18" charset="0"/>
                  </a:rPr>
                  <a:t>No. of Trials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1" u="none" strike="noStrike" kern="1200" baseline="0">
                  <a:solidFill>
                    <a:schemeClr val="dk1"/>
                  </a:solidFill>
                  <a:latin typeface="Times New Roman" panose="02020603050405020304" pitchFamily="18" charset="0"/>
                  <a:ea typeface="+mn-ea"/>
                  <a:cs typeface="Times New Roman" panose="02020603050405020304" pitchFamily="18" charset="0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9025497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19050" cap="flat" cmpd="sng" algn="ctr">
      <a:solidFill>
        <a:schemeClr val="dk1"/>
      </a:solidFill>
      <a:prstDash val="solid"/>
      <a:miter lim="800000"/>
    </a:ln>
    <a:effectLst/>
  </c:spPr>
  <c:txPr>
    <a:bodyPr/>
    <a:lstStyle/>
    <a:p>
      <a:pPr>
        <a:defRPr>
          <a:solidFill>
            <a:schemeClr val="dk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15874</xdr:colOff>
      <xdr:row>106</xdr:row>
      <xdr:rowOff>162101</xdr:rowOff>
    </xdr:from>
    <xdr:to>
      <xdr:col>9</xdr:col>
      <xdr:colOff>446263</xdr:colOff>
      <xdr:row>120</xdr:row>
      <xdr:rowOff>70732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7595BA2A-2FE9-B9F2-63E1-0A72E4EF01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8318F5-2314-9D41-AA7A-B8424A357E43}">
  <dimension ref="A1:AR103"/>
  <sheetViews>
    <sheetView workbookViewId="0">
      <selection activeCell="F22" sqref="F22"/>
    </sheetView>
  </sheetViews>
  <sheetFormatPr baseColWidth="10" defaultRowHeight="16" x14ac:dyDescent="0.2"/>
  <sheetData>
    <row r="1" spans="1:4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3" t="b">
        <v>0</v>
      </c>
      <c r="P2" s="3">
        <v>1.06149170023855E-2</v>
      </c>
      <c r="Q2" s="3">
        <v>1.88469580025412E-2</v>
      </c>
      <c r="R2" s="3">
        <v>1.88469580025412E-2</v>
      </c>
      <c r="S2" s="3">
        <v>11.8428921669984</v>
      </c>
      <c r="T2" s="3" t="s">
        <v>44</v>
      </c>
      <c r="U2" s="3">
        <v>11.812430375001</v>
      </c>
      <c r="V2" s="3" t="s">
        <v>45</v>
      </c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3" t="s">
        <v>46</v>
      </c>
      <c r="AL2" s="3">
        <v>1</v>
      </c>
      <c r="AM2" s="3" t="s">
        <v>47</v>
      </c>
      <c r="AN2" s="3" t="s">
        <v>48</v>
      </c>
      <c r="AO2" s="2"/>
      <c r="AP2" s="3" t="s">
        <v>49</v>
      </c>
      <c r="AQ2" s="3">
        <v>121.07789498818499</v>
      </c>
      <c r="AR2" s="3" t="s">
        <v>50</v>
      </c>
    </row>
    <row r="3" spans="1:44" x14ac:dyDescent="0.2">
      <c r="A3" s="1">
        <v>0</v>
      </c>
      <c r="B3" s="3">
        <v>0</v>
      </c>
      <c r="C3" s="3">
        <v>0</v>
      </c>
      <c r="D3" s="3" t="s">
        <v>51</v>
      </c>
      <c r="E3" s="3">
        <v>1</v>
      </c>
      <c r="F3" s="3">
        <v>0.55149837499629895</v>
      </c>
      <c r="G3" s="3" t="s">
        <v>45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11.8518202080013</v>
      </c>
      <c r="N3" s="2"/>
      <c r="O3" s="2"/>
      <c r="P3" s="2"/>
      <c r="Q3" s="2"/>
      <c r="R3" s="2"/>
      <c r="S3" s="2"/>
      <c r="T3" s="2"/>
      <c r="U3" s="2"/>
      <c r="V3" s="2"/>
      <c r="W3" s="3">
        <v>11.8432053750003</v>
      </c>
      <c r="X3" s="3">
        <v>11.8518202080013</v>
      </c>
      <c r="Y3" s="3">
        <v>12.834765250001499</v>
      </c>
      <c r="Z3" s="3">
        <v>12.843682917002299</v>
      </c>
      <c r="AA3" s="3">
        <v>13.4031890830011</v>
      </c>
      <c r="AB3" s="3" t="s">
        <v>51</v>
      </c>
      <c r="AC3" s="3">
        <v>1</v>
      </c>
      <c r="AD3" s="3">
        <v>0.55149837499629895</v>
      </c>
      <c r="AE3" s="3" t="s">
        <v>45</v>
      </c>
      <c r="AF3" s="3">
        <v>0</v>
      </c>
      <c r="AG3" s="2"/>
      <c r="AH3" s="2"/>
      <c r="AI3" s="2"/>
      <c r="AJ3" s="2"/>
      <c r="AK3" s="3" t="s">
        <v>46</v>
      </c>
      <c r="AL3" s="3">
        <v>1</v>
      </c>
      <c r="AM3" s="3" t="s">
        <v>47</v>
      </c>
      <c r="AN3" s="3" t="s">
        <v>48</v>
      </c>
      <c r="AO3" s="2"/>
      <c r="AP3" s="3" t="s">
        <v>49</v>
      </c>
      <c r="AQ3" s="3">
        <v>121.07789498818499</v>
      </c>
      <c r="AR3" s="3" t="s">
        <v>50</v>
      </c>
    </row>
    <row r="4" spans="1:44" x14ac:dyDescent="0.2">
      <c r="A4" s="1">
        <v>1</v>
      </c>
      <c r="B4" s="3">
        <v>0</v>
      </c>
      <c r="C4" s="3">
        <v>1</v>
      </c>
      <c r="D4" s="3" t="s">
        <v>51</v>
      </c>
      <c r="E4" s="3">
        <v>1</v>
      </c>
      <c r="F4" s="3">
        <v>0.57438591699610697</v>
      </c>
      <c r="G4" s="3" t="s">
        <v>45</v>
      </c>
      <c r="H4" s="3">
        <v>0</v>
      </c>
      <c r="I4" s="3">
        <v>1</v>
      </c>
      <c r="J4" s="3">
        <v>0</v>
      </c>
      <c r="K4" s="3">
        <v>1</v>
      </c>
      <c r="L4" s="3">
        <v>0</v>
      </c>
      <c r="M4" s="3">
        <v>13.4099535420028</v>
      </c>
      <c r="N4" s="2"/>
      <c r="O4" s="2"/>
      <c r="P4" s="2"/>
      <c r="Q4" s="2"/>
      <c r="R4" s="2"/>
      <c r="S4" s="2"/>
      <c r="T4" s="2"/>
      <c r="U4" s="2"/>
      <c r="V4" s="2"/>
      <c r="W4" s="3">
        <v>13.403276582997901</v>
      </c>
      <c r="X4" s="3">
        <v>13.4099535420028</v>
      </c>
      <c r="Y4" s="3">
        <v>14.401934333000099</v>
      </c>
      <c r="Z4" s="3">
        <v>14.401934333000099</v>
      </c>
      <c r="AA4" s="3">
        <v>14.977013124997001</v>
      </c>
      <c r="AB4" s="3" t="s">
        <v>51</v>
      </c>
      <c r="AC4" s="3">
        <v>1</v>
      </c>
      <c r="AD4" s="3">
        <v>0.57438591699610697</v>
      </c>
      <c r="AE4" s="3" t="s">
        <v>45</v>
      </c>
      <c r="AF4" s="3">
        <v>0</v>
      </c>
      <c r="AG4" s="2"/>
      <c r="AH4" s="2"/>
      <c r="AI4" s="2"/>
      <c r="AJ4" s="2"/>
      <c r="AK4" s="3" t="s">
        <v>46</v>
      </c>
      <c r="AL4" s="3">
        <v>1</v>
      </c>
      <c r="AM4" s="3" t="s">
        <v>47</v>
      </c>
      <c r="AN4" s="3" t="s">
        <v>48</v>
      </c>
      <c r="AO4" s="2"/>
      <c r="AP4" s="3" t="s">
        <v>49</v>
      </c>
      <c r="AQ4" s="3">
        <v>121.07789498818499</v>
      </c>
      <c r="AR4" s="3" t="s">
        <v>50</v>
      </c>
    </row>
    <row r="5" spans="1:44" x14ac:dyDescent="0.2">
      <c r="A5" s="1">
        <v>2</v>
      </c>
      <c r="B5" s="3">
        <v>0</v>
      </c>
      <c r="C5" s="3">
        <v>2</v>
      </c>
      <c r="D5" s="3" t="s">
        <v>52</v>
      </c>
      <c r="E5" s="3">
        <v>1</v>
      </c>
      <c r="F5" s="3">
        <v>0.40468345800036298</v>
      </c>
      <c r="G5" s="3" t="s">
        <v>45</v>
      </c>
      <c r="H5" s="3">
        <v>-4</v>
      </c>
      <c r="I5" s="3">
        <v>2</v>
      </c>
      <c r="J5" s="3">
        <v>0</v>
      </c>
      <c r="K5" s="3">
        <v>2</v>
      </c>
      <c r="L5" s="3">
        <v>0</v>
      </c>
      <c r="M5" s="3">
        <v>14.9851944170005</v>
      </c>
      <c r="N5" s="2"/>
      <c r="O5" s="2"/>
      <c r="P5" s="2"/>
      <c r="Q5" s="2"/>
      <c r="R5" s="2"/>
      <c r="S5" s="2"/>
      <c r="T5" s="2"/>
      <c r="U5" s="2"/>
      <c r="V5" s="2"/>
      <c r="W5" s="3">
        <v>14.977095166999799</v>
      </c>
      <c r="X5" s="3">
        <v>14.9851944170005</v>
      </c>
      <c r="Y5" s="3">
        <v>15.968472833003</v>
      </c>
      <c r="Z5" s="3">
        <v>15.976890457997801</v>
      </c>
      <c r="AA5" s="3">
        <v>16.3770625830002</v>
      </c>
      <c r="AB5" s="3" t="s">
        <v>52</v>
      </c>
      <c r="AC5" s="3">
        <v>1</v>
      </c>
      <c r="AD5" s="3">
        <v>0.40468345800036298</v>
      </c>
      <c r="AE5" s="3" t="s">
        <v>45</v>
      </c>
      <c r="AF5" s="3">
        <v>-4</v>
      </c>
      <c r="AG5" s="2"/>
      <c r="AH5" s="2"/>
      <c r="AI5" s="2"/>
      <c r="AJ5" s="2"/>
      <c r="AK5" s="3" t="s">
        <v>46</v>
      </c>
      <c r="AL5" s="3">
        <v>1</v>
      </c>
      <c r="AM5" s="3" t="s">
        <v>47</v>
      </c>
      <c r="AN5" s="3" t="s">
        <v>48</v>
      </c>
      <c r="AO5" s="2"/>
      <c r="AP5" s="3" t="s">
        <v>49</v>
      </c>
      <c r="AQ5" s="3">
        <v>121.07789498818499</v>
      </c>
      <c r="AR5" s="3" t="s">
        <v>50</v>
      </c>
    </row>
    <row r="6" spans="1:44" x14ac:dyDescent="0.2">
      <c r="A6" s="1">
        <v>3</v>
      </c>
      <c r="B6" s="3">
        <v>0</v>
      </c>
      <c r="C6" s="3">
        <v>3</v>
      </c>
      <c r="D6" s="3" t="s">
        <v>51</v>
      </c>
      <c r="E6" s="3">
        <v>0</v>
      </c>
      <c r="F6" s="3">
        <v>0.59591404199454701</v>
      </c>
      <c r="G6" s="3" t="s">
        <v>45</v>
      </c>
      <c r="H6" s="3">
        <v>1</v>
      </c>
      <c r="I6" s="3">
        <v>3</v>
      </c>
      <c r="J6" s="3">
        <v>0</v>
      </c>
      <c r="K6" s="3">
        <v>3</v>
      </c>
      <c r="L6" s="3">
        <v>0</v>
      </c>
      <c r="M6" s="3">
        <v>16.3851445830005</v>
      </c>
      <c r="N6" s="2"/>
      <c r="O6" s="2"/>
      <c r="P6" s="2"/>
      <c r="Q6" s="2"/>
      <c r="R6" s="2"/>
      <c r="S6" s="2"/>
      <c r="T6" s="2"/>
      <c r="U6" s="2"/>
      <c r="V6" s="2"/>
      <c r="W6" s="3">
        <v>16.377142500001401</v>
      </c>
      <c r="X6" s="3">
        <v>16.3851445830005</v>
      </c>
      <c r="Y6" s="3">
        <v>17.368185582999999</v>
      </c>
      <c r="Z6" s="3">
        <v>17.376498416997499</v>
      </c>
      <c r="AA6" s="3">
        <v>17.968651458002601</v>
      </c>
      <c r="AB6" s="3" t="s">
        <v>51</v>
      </c>
      <c r="AC6" s="3">
        <v>0</v>
      </c>
      <c r="AD6" s="3">
        <v>0.59591404199454701</v>
      </c>
      <c r="AE6" s="3" t="s">
        <v>45</v>
      </c>
      <c r="AF6" s="3">
        <v>1</v>
      </c>
      <c r="AG6" s="2"/>
      <c r="AH6" s="2"/>
      <c r="AI6" s="2"/>
      <c r="AJ6" s="2"/>
      <c r="AK6" s="3" t="s">
        <v>46</v>
      </c>
      <c r="AL6" s="3">
        <v>1</v>
      </c>
      <c r="AM6" s="3" t="s">
        <v>47</v>
      </c>
      <c r="AN6" s="3" t="s">
        <v>48</v>
      </c>
      <c r="AO6" s="2"/>
      <c r="AP6" s="3" t="s">
        <v>49</v>
      </c>
      <c r="AQ6" s="3">
        <v>121.07789498818499</v>
      </c>
      <c r="AR6" s="3" t="s">
        <v>50</v>
      </c>
    </row>
    <row r="7" spans="1:44" x14ac:dyDescent="0.2">
      <c r="A7" s="1">
        <v>4</v>
      </c>
      <c r="B7" s="3">
        <v>0</v>
      </c>
      <c r="C7" s="3">
        <v>4</v>
      </c>
      <c r="D7" s="3" t="s">
        <v>51</v>
      </c>
      <c r="E7" s="3">
        <v>0</v>
      </c>
      <c r="F7" s="3">
        <v>0.52662104200135196</v>
      </c>
      <c r="G7" s="3" t="s">
        <v>45</v>
      </c>
      <c r="H7" s="3">
        <v>1</v>
      </c>
      <c r="I7" s="3">
        <v>4</v>
      </c>
      <c r="J7" s="3">
        <v>0</v>
      </c>
      <c r="K7" s="3">
        <v>4</v>
      </c>
      <c r="L7" s="3">
        <v>0</v>
      </c>
      <c r="M7" s="3">
        <v>17.9768665419979</v>
      </c>
      <c r="N7" s="2"/>
      <c r="O7" s="2"/>
      <c r="P7" s="2"/>
      <c r="Q7" s="2"/>
      <c r="R7" s="2"/>
      <c r="S7" s="2"/>
      <c r="T7" s="2"/>
      <c r="U7" s="2"/>
      <c r="V7" s="2"/>
      <c r="W7" s="3">
        <v>17.968730874999899</v>
      </c>
      <c r="X7" s="3">
        <v>17.9768665419979</v>
      </c>
      <c r="Y7" s="3">
        <v>18.9594203750021</v>
      </c>
      <c r="Z7" s="3">
        <v>18.968508291996802</v>
      </c>
      <c r="AA7" s="3">
        <v>19.493742708000401</v>
      </c>
      <c r="AB7" s="3" t="s">
        <v>51</v>
      </c>
      <c r="AC7" s="3">
        <v>0</v>
      </c>
      <c r="AD7" s="3">
        <v>0.52662104200135196</v>
      </c>
      <c r="AE7" s="3" t="s">
        <v>45</v>
      </c>
      <c r="AF7" s="3">
        <v>1</v>
      </c>
      <c r="AG7" s="2"/>
      <c r="AH7" s="2"/>
      <c r="AI7" s="2"/>
      <c r="AJ7" s="2"/>
      <c r="AK7" s="3" t="s">
        <v>46</v>
      </c>
      <c r="AL7" s="3">
        <v>1</v>
      </c>
      <c r="AM7" s="3" t="s">
        <v>47</v>
      </c>
      <c r="AN7" s="3" t="s">
        <v>48</v>
      </c>
      <c r="AO7" s="2"/>
      <c r="AP7" s="3" t="s">
        <v>49</v>
      </c>
      <c r="AQ7" s="3">
        <v>121.07789498818499</v>
      </c>
      <c r="AR7" s="3" t="s">
        <v>50</v>
      </c>
    </row>
    <row r="8" spans="1:44" x14ac:dyDescent="0.2">
      <c r="A8" s="1">
        <v>5</v>
      </c>
      <c r="B8" s="3">
        <v>0</v>
      </c>
      <c r="C8" s="3">
        <v>5</v>
      </c>
      <c r="D8" s="3" t="s">
        <v>52</v>
      </c>
      <c r="E8" s="3">
        <v>1</v>
      </c>
      <c r="F8" s="3">
        <v>0.59380037500522997</v>
      </c>
      <c r="G8" s="3" t="s">
        <v>45</v>
      </c>
      <c r="H8" s="3">
        <v>-4</v>
      </c>
      <c r="I8" s="3">
        <v>5</v>
      </c>
      <c r="J8" s="3">
        <v>0</v>
      </c>
      <c r="K8" s="3">
        <v>5</v>
      </c>
      <c r="L8" s="3">
        <v>0</v>
      </c>
      <c r="M8" s="3">
        <v>19.501741749998502</v>
      </c>
      <c r="N8" s="2"/>
      <c r="O8" s="2"/>
      <c r="P8" s="2"/>
      <c r="Q8" s="2"/>
      <c r="R8" s="2"/>
      <c r="S8" s="2"/>
      <c r="T8" s="2"/>
      <c r="U8" s="2"/>
      <c r="V8" s="2"/>
      <c r="W8" s="3">
        <v>19.493815624999101</v>
      </c>
      <c r="X8" s="3">
        <v>19.501741749998502</v>
      </c>
      <c r="Y8" s="3">
        <v>20.485168457998999</v>
      </c>
      <c r="Z8" s="3">
        <v>20.4933660000024</v>
      </c>
      <c r="AA8" s="3">
        <v>21.084748250002999</v>
      </c>
      <c r="AB8" s="3" t="s">
        <v>52</v>
      </c>
      <c r="AC8" s="3">
        <v>1</v>
      </c>
      <c r="AD8" s="3">
        <v>0.59380037500522997</v>
      </c>
      <c r="AE8" s="3" t="s">
        <v>45</v>
      </c>
      <c r="AF8" s="3">
        <v>-4</v>
      </c>
      <c r="AG8" s="2"/>
      <c r="AH8" s="2"/>
      <c r="AI8" s="2"/>
      <c r="AJ8" s="2"/>
      <c r="AK8" s="3" t="s">
        <v>46</v>
      </c>
      <c r="AL8" s="3">
        <v>1</v>
      </c>
      <c r="AM8" s="3" t="s">
        <v>47</v>
      </c>
      <c r="AN8" s="3" t="s">
        <v>48</v>
      </c>
      <c r="AO8" s="2"/>
      <c r="AP8" s="3" t="s">
        <v>49</v>
      </c>
      <c r="AQ8" s="3">
        <v>121.07789498818499</v>
      </c>
      <c r="AR8" s="3" t="s">
        <v>50</v>
      </c>
    </row>
    <row r="9" spans="1:44" x14ac:dyDescent="0.2">
      <c r="A9" s="1">
        <v>6</v>
      </c>
      <c r="B9" s="3">
        <v>0</v>
      </c>
      <c r="C9" s="3">
        <v>6</v>
      </c>
      <c r="D9" s="3" t="s">
        <v>51</v>
      </c>
      <c r="E9" s="3">
        <v>1</v>
      </c>
      <c r="F9" s="3">
        <v>0.55518562500219604</v>
      </c>
      <c r="G9" s="3" t="s">
        <v>45</v>
      </c>
      <c r="H9" s="3">
        <v>0</v>
      </c>
      <c r="I9" s="3">
        <v>6</v>
      </c>
      <c r="J9" s="3">
        <v>0</v>
      </c>
      <c r="K9" s="3">
        <v>6</v>
      </c>
      <c r="L9" s="3">
        <v>0</v>
      </c>
      <c r="M9" s="3">
        <v>21.0928550419994</v>
      </c>
      <c r="N9" s="2"/>
      <c r="O9" s="2"/>
      <c r="P9" s="2"/>
      <c r="Q9" s="2"/>
      <c r="R9" s="2"/>
      <c r="S9" s="2"/>
      <c r="T9" s="2"/>
      <c r="U9" s="2"/>
      <c r="V9" s="2"/>
      <c r="W9" s="3">
        <v>21.0848130419981</v>
      </c>
      <c r="X9" s="3">
        <v>21.0928550419994</v>
      </c>
      <c r="Y9" s="3">
        <v>22.076718042000699</v>
      </c>
      <c r="Z9" s="3">
        <v>22.085123666998701</v>
      </c>
      <c r="AA9" s="3">
        <v>22.635215875001499</v>
      </c>
      <c r="AB9" s="3" t="s">
        <v>51</v>
      </c>
      <c r="AC9" s="3">
        <v>1</v>
      </c>
      <c r="AD9" s="3">
        <v>0.55518562500219604</v>
      </c>
      <c r="AE9" s="3" t="s">
        <v>45</v>
      </c>
      <c r="AF9" s="3">
        <v>0</v>
      </c>
      <c r="AG9" s="2"/>
      <c r="AH9" s="2"/>
      <c r="AI9" s="2"/>
      <c r="AJ9" s="2"/>
      <c r="AK9" s="3" t="s">
        <v>46</v>
      </c>
      <c r="AL9" s="3">
        <v>1</v>
      </c>
      <c r="AM9" s="3" t="s">
        <v>47</v>
      </c>
      <c r="AN9" s="3" t="s">
        <v>48</v>
      </c>
      <c r="AO9" s="2"/>
      <c r="AP9" s="3" t="s">
        <v>49</v>
      </c>
      <c r="AQ9" s="3">
        <v>121.07789498818499</v>
      </c>
      <c r="AR9" s="3" t="s">
        <v>50</v>
      </c>
    </row>
    <row r="10" spans="1:44" x14ac:dyDescent="0.2">
      <c r="A10" s="1">
        <v>7</v>
      </c>
      <c r="B10" s="3">
        <v>0</v>
      </c>
      <c r="C10" s="3">
        <v>7</v>
      </c>
      <c r="D10" s="3" t="s">
        <v>51</v>
      </c>
      <c r="E10" s="3">
        <v>1</v>
      </c>
      <c r="F10" s="3">
        <v>0.54769379199569801</v>
      </c>
      <c r="G10" s="3" t="s">
        <v>45</v>
      </c>
      <c r="H10" s="3">
        <v>0</v>
      </c>
      <c r="I10" s="3">
        <v>7</v>
      </c>
      <c r="J10" s="3">
        <v>0</v>
      </c>
      <c r="K10" s="3">
        <v>7</v>
      </c>
      <c r="L10" s="3">
        <v>0</v>
      </c>
      <c r="M10" s="3">
        <v>22.642732166998002</v>
      </c>
      <c r="N10" s="2"/>
      <c r="O10" s="2"/>
      <c r="P10" s="2"/>
      <c r="Q10" s="2"/>
      <c r="R10" s="2"/>
      <c r="S10" s="2"/>
      <c r="T10" s="2"/>
      <c r="U10" s="2"/>
      <c r="V10" s="2"/>
      <c r="W10" s="3">
        <v>22.635279750000301</v>
      </c>
      <c r="X10" s="3">
        <v>22.642732166998002</v>
      </c>
      <c r="Y10" s="3">
        <v>23.626169791998102</v>
      </c>
      <c r="Z10" s="3">
        <v>23.634428666999199</v>
      </c>
      <c r="AA10" s="3">
        <v>24.176769416997601</v>
      </c>
      <c r="AB10" s="3" t="s">
        <v>51</v>
      </c>
      <c r="AC10" s="3">
        <v>1</v>
      </c>
      <c r="AD10" s="3">
        <v>0.54769379199569801</v>
      </c>
      <c r="AE10" s="3" t="s">
        <v>45</v>
      </c>
      <c r="AF10" s="3">
        <v>0</v>
      </c>
      <c r="AG10" s="2"/>
      <c r="AH10" s="2"/>
      <c r="AI10" s="2"/>
      <c r="AJ10" s="2"/>
      <c r="AK10" s="3" t="s">
        <v>46</v>
      </c>
      <c r="AL10" s="3">
        <v>1</v>
      </c>
      <c r="AM10" s="3" t="s">
        <v>47</v>
      </c>
      <c r="AN10" s="3" t="s">
        <v>48</v>
      </c>
      <c r="AO10" s="2"/>
      <c r="AP10" s="3" t="s">
        <v>49</v>
      </c>
      <c r="AQ10" s="3">
        <v>121.07789498818499</v>
      </c>
      <c r="AR10" s="3" t="s">
        <v>50</v>
      </c>
    </row>
    <row r="11" spans="1:44" x14ac:dyDescent="0.2">
      <c r="A11" s="1">
        <v>8</v>
      </c>
      <c r="B11" s="3">
        <v>0</v>
      </c>
      <c r="C11" s="3">
        <v>8</v>
      </c>
      <c r="D11" s="3" t="s">
        <v>51</v>
      </c>
      <c r="E11" s="3">
        <v>1</v>
      </c>
      <c r="F11" s="3">
        <v>0.44074633299896998</v>
      </c>
      <c r="G11" s="3" t="s">
        <v>45</v>
      </c>
      <c r="H11" s="3">
        <v>0</v>
      </c>
      <c r="I11" s="3">
        <v>8</v>
      </c>
      <c r="J11" s="3">
        <v>0</v>
      </c>
      <c r="K11" s="3">
        <v>8</v>
      </c>
      <c r="L11" s="3">
        <v>0</v>
      </c>
      <c r="M11" s="3">
        <v>24.184857125001098</v>
      </c>
      <c r="N11" s="2"/>
      <c r="O11" s="2"/>
      <c r="P11" s="2"/>
      <c r="Q11" s="2"/>
      <c r="R11" s="2"/>
      <c r="S11" s="2"/>
      <c r="T11" s="2"/>
      <c r="U11" s="2"/>
      <c r="V11" s="2"/>
      <c r="W11" s="3">
        <v>24.176830999997001</v>
      </c>
      <c r="X11" s="3">
        <v>24.184857125001098</v>
      </c>
      <c r="Y11" s="3">
        <v>25.1682775829977</v>
      </c>
      <c r="Z11" s="3">
        <v>25.1766613329964</v>
      </c>
      <c r="AA11" s="3">
        <v>25.610222916999199</v>
      </c>
      <c r="AB11" s="3" t="s">
        <v>51</v>
      </c>
      <c r="AC11" s="3">
        <v>1</v>
      </c>
      <c r="AD11" s="3">
        <v>0.44074633299896998</v>
      </c>
      <c r="AE11" s="3" t="s">
        <v>45</v>
      </c>
      <c r="AF11" s="3">
        <v>0</v>
      </c>
      <c r="AG11" s="2"/>
      <c r="AH11" s="2"/>
      <c r="AI11" s="2"/>
      <c r="AJ11" s="2"/>
      <c r="AK11" s="3" t="s">
        <v>46</v>
      </c>
      <c r="AL11" s="3">
        <v>1</v>
      </c>
      <c r="AM11" s="3" t="s">
        <v>47</v>
      </c>
      <c r="AN11" s="3" t="s">
        <v>48</v>
      </c>
      <c r="AO11" s="2"/>
      <c r="AP11" s="3" t="s">
        <v>49</v>
      </c>
      <c r="AQ11" s="3">
        <v>121.07789498818499</v>
      </c>
      <c r="AR11" s="3" t="s">
        <v>50</v>
      </c>
    </row>
    <row r="12" spans="1:44" x14ac:dyDescent="0.2">
      <c r="A12" s="1">
        <v>9</v>
      </c>
      <c r="B12" s="3">
        <v>0</v>
      </c>
      <c r="C12" s="3">
        <v>9</v>
      </c>
      <c r="D12" s="3" t="s">
        <v>51</v>
      </c>
      <c r="E12" s="3">
        <v>0</v>
      </c>
      <c r="F12" s="3">
        <v>0.73607504199753804</v>
      </c>
      <c r="G12" s="3" t="s">
        <v>45</v>
      </c>
      <c r="H12" s="3">
        <v>2</v>
      </c>
      <c r="I12" s="3">
        <v>9</v>
      </c>
      <c r="J12" s="3">
        <v>0</v>
      </c>
      <c r="K12" s="3">
        <v>9</v>
      </c>
      <c r="L12" s="3">
        <v>0</v>
      </c>
      <c r="M12" s="3">
        <v>25.618331291996601</v>
      </c>
      <c r="N12" s="2"/>
      <c r="O12" s="2"/>
      <c r="P12" s="2"/>
      <c r="Q12" s="2"/>
      <c r="R12" s="2"/>
      <c r="S12" s="2"/>
      <c r="T12" s="2"/>
      <c r="U12" s="2"/>
      <c r="V12" s="2"/>
      <c r="W12" s="3">
        <v>25.610299166997699</v>
      </c>
      <c r="X12" s="3">
        <v>25.618331291996601</v>
      </c>
      <c r="Y12" s="3">
        <v>26.601648582996901</v>
      </c>
      <c r="Z12" s="3">
        <v>26.609427000003102</v>
      </c>
      <c r="AA12" s="3">
        <v>27.343500707996998</v>
      </c>
      <c r="AB12" s="3" t="s">
        <v>51</v>
      </c>
      <c r="AC12" s="3">
        <v>0</v>
      </c>
      <c r="AD12" s="3">
        <v>0.73607504199753804</v>
      </c>
      <c r="AE12" s="3" t="s">
        <v>45</v>
      </c>
      <c r="AF12" s="3">
        <v>2</v>
      </c>
      <c r="AG12" s="2"/>
      <c r="AH12" s="2"/>
      <c r="AI12" s="2"/>
      <c r="AJ12" s="2"/>
      <c r="AK12" s="3" t="s">
        <v>46</v>
      </c>
      <c r="AL12" s="3">
        <v>1</v>
      </c>
      <c r="AM12" s="3" t="s">
        <v>47</v>
      </c>
      <c r="AN12" s="3" t="s">
        <v>48</v>
      </c>
      <c r="AO12" s="2"/>
      <c r="AP12" s="3" t="s">
        <v>49</v>
      </c>
      <c r="AQ12" s="3">
        <v>121.07789498818499</v>
      </c>
      <c r="AR12" s="3" t="s">
        <v>50</v>
      </c>
    </row>
    <row r="13" spans="1:44" x14ac:dyDescent="0.2">
      <c r="A13" s="1">
        <v>10</v>
      </c>
      <c r="B13" s="3">
        <v>0</v>
      </c>
      <c r="C13" s="3">
        <v>10</v>
      </c>
      <c r="D13" s="3" t="s">
        <v>52</v>
      </c>
      <c r="E13" s="3">
        <v>1</v>
      </c>
      <c r="F13" s="3">
        <v>0.49577499999577401</v>
      </c>
      <c r="G13" s="3" t="s">
        <v>45</v>
      </c>
      <c r="H13" s="3">
        <v>-5</v>
      </c>
      <c r="I13" s="3">
        <v>10</v>
      </c>
      <c r="J13" s="3">
        <v>0</v>
      </c>
      <c r="K13" s="3">
        <v>10</v>
      </c>
      <c r="L13" s="3">
        <v>0</v>
      </c>
      <c r="M13" s="3">
        <v>27.3516262080011</v>
      </c>
      <c r="N13" s="2"/>
      <c r="O13" s="2"/>
      <c r="P13" s="2"/>
      <c r="Q13" s="2"/>
      <c r="R13" s="2"/>
      <c r="S13" s="2"/>
      <c r="T13" s="2"/>
      <c r="U13" s="2"/>
      <c r="V13" s="2"/>
      <c r="W13" s="3">
        <v>27.343574624996101</v>
      </c>
      <c r="X13" s="3">
        <v>27.3516262080011</v>
      </c>
      <c r="Y13" s="3">
        <v>28.334922916998</v>
      </c>
      <c r="Z13" s="3">
        <v>28.343328041999499</v>
      </c>
      <c r="AA13" s="3">
        <v>28.835235958002201</v>
      </c>
      <c r="AB13" s="3" t="s">
        <v>52</v>
      </c>
      <c r="AC13" s="3">
        <v>1</v>
      </c>
      <c r="AD13" s="3">
        <v>0.49577499999577401</v>
      </c>
      <c r="AE13" s="3" t="s">
        <v>45</v>
      </c>
      <c r="AF13" s="3">
        <v>-5</v>
      </c>
      <c r="AG13" s="2"/>
      <c r="AH13" s="2"/>
      <c r="AI13" s="2"/>
      <c r="AJ13" s="2"/>
      <c r="AK13" s="3" t="s">
        <v>46</v>
      </c>
      <c r="AL13" s="3">
        <v>1</v>
      </c>
      <c r="AM13" s="3" t="s">
        <v>47</v>
      </c>
      <c r="AN13" s="3" t="s">
        <v>48</v>
      </c>
      <c r="AO13" s="2"/>
      <c r="AP13" s="3" t="s">
        <v>49</v>
      </c>
      <c r="AQ13" s="3">
        <v>121.07789498818499</v>
      </c>
      <c r="AR13" s="3" t="s">
        <v>50</v>
      </c>
    </row>
    <row r="14" spans="1:44" x14ac:dyDescent="0.2">
      <c r="A14" s="1">
        <v>11</v>
      </c>
      <c r="B14" s="3">
        <v>0</v>
      </c>
      <c r="C14" s="3">
        <v>11</v>
      </c>
      <c r="D14" s="3" t="s">
        <v>51</v>
      </c>
      <c r="E14" s="3">
        <v>1</v>
      </c>
      <c r="F14" s="3">
        <v>0.634065040998394</v>
      </c>
      <c r="G14" s="3" t="s">
        <v>45</v>
      </c>
      <c r="H14" s="3">
        <v>0</v>
      </c>
      <c r="I14" s="3">
        <v>11</v>
      </c>
      <c r="J14" s="3">
        <v>0</v>
      </c>
      <c r="K14" s="3">
        <v>11</v>
      </c>
      <c r="L14" s="3">
        <v>0</v>
      </c>
      <c r="M14" s="3">
        <v>28.843276708001198</v>
      </c>
      <c r="N14" s="2"/>
      <c r="O14" s="2"/>
      <c r="P14" s="2"/>
      <c r="Q14" s="2"/>
      <c r="R14" s="2"/>
      <c r="S14" s="2"/>
      <c r="T14" s="2"/>
      <c r="U14" s="2"/>
      <c r="V14" s="2"/>
      <c r="W14" s="3">
        <v>28.835304874999601</v>
      </c>
      <c r="X14" s="3">
        <v>28.843276708001198</v>
      </c>
      <c r="Y14" s="3">
        <v>29.8265725419988</v>
      </c>
      <c r="Z14" s="3">
        <v>29.834967750000899</v>
      </c>
      <c r="AA14" s="3">
        <v>30.4685290830021</v>
      </c>
      <c r="AB14" s="3" t="s">
        <v>51</v>
      </c>
      <c r="AC14" s="3">
        <v>1</v>
      </c>
      <c r="AD14" s="3">
        <v>0.634065040998394</v>
      </c>
      <c r="AE14" s="3" t="s">
        <v>45</v>
      </c>
      <c r="AF14" s="3">
        <v>0</v>
      </c>
      <c r="AG14" s="2"/>
      <c r="AH14" s="2"/>
      <c r="AI14" s="2"/>
      <c r="AJ14" s="2"/>
      <c r="AK14" s="3" t="s">
        <v>46</v>
      </c>
      <c r="AL14" s="3">
        <v>1</v>
      </c>
      <c r="AM14" s="3" t="s">
        <v>47</v>
      </c>
      <c r="AN14" s="3" t="s">
        <v>48</v>
      </c>
      <c r="AO14" s="2"/>
      <c r="AP14" s="3" t="s">
        <v>49</v>
      </c>
      <c r="AQ14" s="3">
        <v>121.07789498818499</v>
      </c>
      <c r="AR14" s="3" t="s">
        <v>50</v>
      </c>
    </row>
    <row r="15" spans="1:44" x14ac:dyDescent="0.2">
      <c r="A15" s="1">
        <v>12</v>
      </c>
      <c r="B15" s="3">
        <v>0</v>
      </c>
      <c r="C15" s="3">
        <v>12</v>
      </c>
      <c r="D15" s="3" t="s">
        <v>52</v>
      </c>
      <c r="E15" s="3">
        <v>1</v>
      </c>
      <c r="F15" s="3">
        <v>0.52197620800143296</v>
      </c>
      <c r="G15" s="3" t="s">
        <v>45</v>
      </c>
      <c r="H15" s="3">
        <v>-5</v>
      </c>
      <c r="I15" s="3">
        <v>12</v>
      </c>
      <c r="J15" s="3">
        <v>0</v>
      </c>
      <c r="K15" s="3">
        <v>12</v>
      </c>
      <c r="L15" s="3">
        <v>0</v>
      </c>
      <c r="M15" s="3">
        <v>30.476661875000001</v>
      </c>
      <c r="N15" s="2"/>
      <c r="O15" s="2"/>
      <c r="P15" s="2"/>
      <c r="Q15" s="2"/>
      <c r="R15" s="2"/>
      <c r="S15" s="2"/>
      <c r="T15" s="2"/>
      <c r="U15" s="2"/>
      <c r="V15" s="2"/>
      <c r="W15" s="3">
        <v>30.468596124999799</v>
      </c>
      <c r="X15" s="3">
        <v>30.476661875000001</v>
      </c>
      <c r="Y15" s="3">
        <v>31.459598291999999</v>
      </c>
      <c r="Z15" s="3">
        <v>31.467771750001699</v>
      </c>
      <c r="AA15" s="3">
        <v>31.985169708001202</v>
      </c>
      <c r="AB15" s="3" t="s">
        <v>52</v>
      </c>
      <c r="AC15" s="3">
        <v>1</v>
      </c>
      <c r="AD15" s="3">
        <v>0.52197620800143296</v>
      </c>
      <c r="AE15" s="3" t="s">
        <v>45</v>
      </c>
      <c r="AF15" s="3">
        <v>-5</v>
      </c>
      <c r="AG15" s="2"/>
      <c r="AH15" s="2"/>
      <c r="AI15" s="2"/>
      <c r="AJ15" s="2"/>
      <c r="AK15" s="3" t="s">
        <v>46</v>
      </c>
      <c r="AL15" s="3">
        <v>1</v>
      </c>
      <c r="AM15" s="3" t="s">
        <v>47</v>
      </c>
      <c r="AN15" s="3" t="s">
        <v>48</v>
      </c>
      <c r="AO15" s="2"/>
      <c r="AP15" s="3" t="s">
        <v>49</v>
      </c>
      <c r="AQ15" s="3">
        <v>121.07789498818499</v>
      </c>
      <c r="AR15" s="3" t="s">
        <v>50</v>
      </c>
    </row>
    <row r="16" spans="1:44" x14ac:dyDescent="0.2">
      <c r="A16" s="1">
        <v>13</v>
      </c>
      <c r="B16" s="3">
        <v>0</v>
      </c>
      <c r="C16" s="3">
        <v>13</v>
      </c>
      <c r="D16" s="3" t="s">
        <v>52</v>
      </c>
      <c r="E16" s="3">
        <v>1</v>
      </c>
      <c r="F16" s="3">
        <v>0.67871529099647898</v>
      </c>
      <c r="G16" s="3" t="s">
        <v>45</v>
      </c>
      <c r="H16" s="3">
        <v>-4</v>
      </c>
      <c r="I16" s="3">
        <v>13</v>
      </c>
      <c r="J16" s="3">
        <v>0</v>
      </c>
      <c r="K16" s="3">
        <v>13</v>
      </c>
      <c r="L16" s="3">
        <v>0</v>
      </c>
      <c r="M16" s="3">
        <v>31.993155042000598</v>
      </c>
      <c r="N16" s="2"/>
      <c r="O16" s="2"/>
      <c r="P16" s="2"/>
      <c r="Q16" s="2"/>
      <c r="R16" s="2"/>
      <c r="S16" s="2"/>
      <c r="T16" s="2"/>
      <c r="U16" s="2"/>
      <c r="V16" s="2"/>
      <c r="W16" s="3">
        <v>31.985241082999</v>
      </c>
      <c r="X16" s="3">
        <v>31.993155042000598</v>
      </c>
      <c r="Y16" s="3">
        <v>32.984797375000198</v>
      </c>
      <c r="Z16" s="3">
        <v>32.984797375000198</v>
      </c>
      <c r="AA16" s="3">
        <v>33.6681049580002</v>
      </c>
      <c r="AB16" s="3" t="s">
        <v>52</v>
      </c>
      <c r="AC16" s="3">
        <v>1</v>
      </c>
      <c r="AD16" s="3">
        <v>0.67871529099647898</v>
      </c>
      <c r="AE16" s="3" t="s">
        <v>45</v>
      </c>
      <c r="AF16" s="3">
        <v>-4</v>
      </c>
      <c r="AG16" s="2"/>
      <c r="AH16" s="2"/>
      <c r="AI16" s="2"/>
      <c r="AJ16" s="2"/>
      <c r="AK16" s="3" t="s">
        <v>46</v>
      </c>
      <c r="AL16" s="3">
        <v>1</v>
      </c>
      <c r="AM16" s="3" t="s">
        <v>47</v>
      </c>
      <c r="AN16" s="3" t="s">
        <v>48</v>
      </c>
      <c r="AO16" s="2"/>
      <c r="AP16" s="3" t="s">
        <v>49</v>
      </c>
      <c r="AQ16" s="3">
        <v>121.07789498818499</v>
      </c>
      <c r="AR16" s="3" t="s">
        <v>50</v>
      </c>
    </row>
    <row r="17" spans="1:44" x14ac:dyDescent="0.2">
      <c r="A17" s="1">
        <v>14</v>
      </c>
      <c r="B17" s="3">
        <v>0</v>
      </c>
      <c r="C17" s="3">
        <v>14</v>
      </c>
      <c r="D17" s="3" t="s">
        <v>52</v>
      </c>
      <c r="E17" s="3">
        <v>1</v>
      </c>
      <c r="F17" s="3">
        <v>0.86756395799602604</v>
      </c>
      <c r="G17" s="3" t="s">
        <v>45</v>
      </c>
      <c r="H17" s="3">
        <v>1</v>
      </c>
      <c r="I17" s="3">
        <v>14</v>
      </c>
      <c r="J17" s="3">
        <v>0</v>
      </c>
      <c r="K17" s="3">
        <v>14</v>
      </c>
      <c r="L17" s="3">
        <v>0</v>
      </c>
      <c r="M17" s="3">
        <v>33.676541916996896</v>
      </c>
      <c r="N17" s="2"/>
      <c r="O17" s="2"/>
      <c r="P17" s="2"/>
      <c r="Q17" s="2"/>
      <c r="R17" s="2"/>
      <c r="S17" s="2"/>
      <c r="T17" s="2"/>
      <c r="U17" s="2"/>
      <c r="V17" s="2"/>
      <c r="W17" s="3">
        <v>33.668170292003197</v>
      </c>
      <c r="X17" s="3">
        <v>33.676541916996896</v>
      </c>
      <c r="Y17" s="3">
        <v>34.659849249997897</v>
      </c>
      <c r="Z17" s="3">
        <v>34.6682368330003</v>
      </c>
      <c r="AA17" s="3">
        <v>35.535021124997002</v>
      </c>
      <c r="AB17" s="3" t="s">
        <v>52</v>
      </c>
      <c r="AC17" s="3">
        <v>1</v>
      </c>
      <c r="AD17" s="3">
        <v>0.86756395799602604</v>
      </c>
      <c r="AE17" s="3" t="s">
        <v>45</v>
      </c>
      <c r="AF17" s="3">
        <v>1</v>
      </c>
      <c r="AG17" s="2"/>
      <c r="AH17" s="2"/>
      <c r="AI17" s="2"/>
      <c r="AJ17" s="2"/>
      <c r="AK17" s="3" t="s">
        <v>46</v>
      </c>
      <c r="AL17" s="3">
        <v>1</v>
      </c>
      <c r="AM17" s="3" t="s">
        <v>47</v>
      </c>
      <c r="AN17" s="3" t="s">
        <v>48</v>
      </c>
      <c r="AO17" s="2"/>
      <c r="AP17" s="3" t="s">
        <v>49</v>
      </c>
      <c r="AQ17" s="3">
        <v>121.07789498818499</v>
      </c>
      <c r="AR17" s="3" t="s">
        <v>50</v>
      </c>
    </row>
    <row r="18" spans="1:44" x14ac:dyDescent="0.2">
      <c r="A18" s="1">
        <v>15</v>
      </c>
      <c r="B18" s="3">
        <v>0</v>
      </c>
      <c r="C18" s="3">
        <v>15</v>
      </c>
      <c r="D18" s="3" t="s">
        <v>52</v>
      </c>
      <c r="E18" s="3">
        <v>1</v>
      </c>
      <c r="F18" s="3">
        <v>0.64448520900623396</v>
      </c>
      <c r="G18" s="3" t="s">
        <v>45</v>
      </c>
      <c r="H18" s="3">
        <v>-4</v>
      </c>
      <c r="I18" s="3">
        <v>15</v>
      </c>
      <c r="J18" s="3">
        <v>0</v>
      </c>
      <c r="K18" s="3">
        <v>15</v>
      </c>
      <c r="L18" s="3">
        <v>0</v>
      </c>
      <c r="M18" s="3">
        <v>35.542858458000403</v>
      </c>
      <c r="N18" s="2"/>
      <c r="O18" s="2"/>
      <c r="P18" s="2"/>
      <c r="Q18" s="2"/>
      <c r="R18" s="2"/>
      <c r="S18" s="2"/>
      <c r="T18" s="2"/>
      <c r="U18" s="2"/>
      <c r="V18" s="2"/>
      <c r="W18" s="3">
        <v>35.535089333003299</v>
      </c>
      <c r="X18" s="3">
        <v>35.542858458000403</v>
      </c>
      <c r="Y18" s="3">
        <v>36.5258972500014</v>
      </c>
      <c r="Z18" s="3">
        <v>36.534215041996497</v>
      </c>
      <c r="AA18" s="3">
        <v>37.1767188329977</v>
      </c>
      <c r="AB18" s="3" t="s">
        <v>52</v>
      </c>
      <c r="AC18" s="3">
        <v>1</v>
      </c>
      <c r="AD18" s="3">
        <v>0.64448520900623396</v>
      </c>
      <c r="AE18" s="3" t="s">
        <v>45</v>
      </c>
      <c r="AF18" s="3">
        <v>-4</v>
      </c>
      <c r="AG18" s="2"/>
      <c r="AH18" s="2"/>
      <c r="AI18" s="2"/>
      <c r="AJ18" s="2"/>
      <c r="AK18" s="3" t="s">
        <v>46</v>
      </c>
      <c r="AL18" s="3">
        <v>1</v>
      </c>
      <c r="AM18" s="3" t="s">
        <v>47</v>
      </c>
      <c r="AN18" s="3" t="s">
        <v>48</v>
      </c>
      <c r="AO18" s="2"/>
      <c r="AP18" s="3" t="s">
        <v>49</v>
      </c>
      <c r="AQ18" s="3">
        <v>121.07789498818499</v>
      </c>
      <c r="AR18" s="3" t="s">
        <v>50</v>
      </c>
    </row>
    <row r="19" spans="1:44" x14ac:dyDescent="0.2">
      <c r="A19" s="1">
        <v>16</v>
      </c>
      <c r="B19" s="3">
        <v>0</v>
      </c>
      <c r="C19" s="3">
        <v>16</v>
      </c>
      <c r="D19" s="3" t="s">
        <v>51</v>
      </c>
      <c r="E19" s="3">
        <v>1</v>
      </c>
      <c r="F19" s="3">
        <v>0.65320720900490403</v>
      </c>
      <c r="G19" s="3" t="s">
        <v>45</v>
      </c>
      <c r="H19" s="3">
        <v>0</v>
      </c>
      <c r="I19" s="3">
        <v>16</v>
      </c>
      <c r="J19" s="3">
        <v>0</v>
      </c>
      <c r="K19" s="3">
        <v>16</v>
      </c>
      <c r="L19" s="3">
        <v>0</v>
      </c>
      <c r="M19" s="3">
        <v>37.184780042000099</v>
      </c>
      <c r="N19" s="2"/>
      <c r="O19" s="2"/>
      <c r="P19" s="2"/>
      <c r="Q19" s="2"/>
      <c r="R19" s="2"/>
      <c r="S19" s="2"/>
      <c r="T19" s="2"/>
      <c r="U19" s="2"/>
      <c r="V19" s="2"/>
      <c r="W19" s="3">
        <v>37.176788874996397</v>
      </c>
      <c r="X19" s="3">
        <v>37.184780042000099</v>
      </c>
      <c r="Y19" s="3">
        <v>38.168089582999499</v>
      </c>
      <c r="Z19" s="3">
        <v>38.1764762919993</v>
      </c>
      <c r="AA19" s="3">
        <v>38.826670000002203</v>
      </c>
      <c r="AB19" s="3" t="s">
        <v>51</v>
      </c>
      <c r="AC19" s="3">
        <v>1</v>
      </c>
      <c r="AD19" s="3">
        <v>0.65320720900490403</v>
      </c>
      <c r="AE19" s="3" t="s">
        <v>45</v>
      </c>
      <c r="AF19" s="3">
        <v>0</v>
      </c>
      <c r="AG19" s="2"/>
      <c r="AH19" s="2"/>
      <c r="AI19" s="2"/>
      <c r="AJ19" s="2"/>
      <c r="AK19" s="3" t="s">
        <v>46</v>
      </c>
      <c r="AL19" s="3">
        <v>1</v>
      </c>
      <c r="AM19" s="3" t="s">
        <v>47</v>
      </c>
      <c r="AN19" s="3" t="s">
        <v>48</v>
      </c>
      <c r="AO19" s="2"/>
      <c r="AP19" s="3" t="s">
        <v>49</v>
      </c>
      <c r="AQ19" s="3">
        <v>121.07789498818499</v>
      </c>
      <c r="AR19" s="3" t="s">
        <v>50</v>
      </c>
    </row>
    <row r="20" spans="1:44" x14ac:dyDescent="0.2">
      <c r="A20" s="1">
        <v>17</v>
      </c>
      <c r="B20" s="3">
        <v>0</v>
      </c>
      <c r="C20" s="3">
        <v>17</v>
      </c>
      <c r="D20" s="3" t="s">
        <v>51</v>
      </c>
      <c r="E20" s="3">
        <v>1</v>
      </c>
      <c r="F20" s="3">
        <v>0.61317166699882397</v>
      </c>
      <c r="G20" s="3" t="s">
        <v>45</v>
      </c>
      <c r="H20" s="3">
        <v>0</v>
      </c>
      <c r="I20" s="3">
        <v>17</v>
      </c>
      <c r="J20" s="3">
        <v>0</v>
      </c>
      <c r="K20" s="3">
        <v>17</v>
      </c>
      <c r="L20" s="3">
        <v>0</v>
      </c>
      <c r="M20" s="3">
        <v>38.834345208000698</v>
      </c>
      <c r="N20" s="2"/>
      <c r="O20" s="2"/>
      <c r="P20" s="2"/>
      <c r="Q20" s="2"/>
      <c r="R20" s="2"/>
      <c r="S20" s="2"/>
      <c r="T20" s="2"/>
      <c r="U20" s="2"/>
      <c r="V20" s="2"/>
      <c r="W20" s="3">
        <v>38.826734875001399</v>
      </c>
      <c r="X20" s="3">
        <v>38.834345208000698</v>
      </c>
      <c r="Y20" s="3">
        <v>39.818069417000501</v>
      </c>
      <c r="Z20" s="3">
        <v>39.826447416999102</v>
      </c>
      <c r="AA20" s="3">
        <v>40.435015582996101</v>
      </c>
      <c r="AB20" s="3" t="s">
        <v>51</v>
      </c>
      <c r="AC20" s="3">
        <v>1</v>
      </c>
      <c r="AD20" s="3">
        <v>0.61317166699882397</v>
      </c>
      <c r="AE20" s="3" t="s">
        <v>45</v>
      </c>
      <c r="AF20" s="3">
        <v>0</v>
      </c>
      <c r="AG20" s="2"/>
      <c r="AH20" s="2"/>
      <c r="AI20" s="2"/>
      <c r="AJ20" s="2"/>
      <c r="AK20" s="3" t="s">
        <v>46</v>
      </c>
      <c r="AL20" s="3">
        <v>1</v>
      </c>
      <c r="AM20" s="3" t="s">
        <v>47</v>
      </c>
      <c r="AN20" s="3" t="s">
        <v>48</v>
      </c>
      <c r="AO20" s="2"/>
      <c r="AP20" s="3" t="s">
        <v>49</v>
      </c>
      <c r="AQ20" s="3">
        <v>121.07789498818499</v>
      </c>
      <c r="AR20" s="3" t="s">
        <v>50</v>
      </c>
    </row>
    <row r="21" spans="1:44" x14ac:dyDescent="0.2">
      <c r="A21" s="1">
        <v>18</v>
      </c>
      <c r="B21" s="3">
        <v>0</v>
      </c>
      <c r="C21" s="3">
        <v>18</v>
      </c>
      <c r="D21" s="3" t="s">
        <v>51</v>
      </c>
      <c r="E21" s="3">
        <v>1</v>
      </c>
      <c r="F21" s="3">
        <v>0.40442420799808998</v>
      </c>
      <c r="G21" s="3" t="s">
        <v>45</v>
      </c>
      <c r="H21" s="3">
        <v>0</v>
      </c>
      <c r="I21" s="3">
        <v>18</v>
      </c>
      <c r="J21" s="3">
        <v>0</v>
      </c>
      <c r="K21" s="3">
        <v>18</v>
      </c>
      <c r="L21" s="3">
        <v>0</v>
      </c>
      <c r="M21" s="3">
        <v>40.443185832998999</v>
      </c>
      <c r="N21" s="2"/>
      <c r="O21" s="2"/>
      <c r="P21" s="2"/>
      <c r="Q21" s="2"/>
      <c r="R21" s="2"/>
      <c r="S21" s="2"/>
      <c r="T21" s="2"/>
      <c r="U21" s="2"/>
      <c r="V21" s="2"/>
      <c r="W21" s="3">
        <v>40.435077249996503</v>
      </c>
      <c r="X21" s="3">
        <v>40.443185832998999</v>
      </c>
      <c r="Y21" s="3">
        <v>41.425781707999697</v>
      </c>
      <c r="Z21" s="3">
        <v>41.434074707998697</v>
      </c>
      <c r="AA21" s="3">
        <v>41.834174957999501</v>
      </c>
      <c r="AB21" s="3" t="s">
        <v>51</v>
      </c>
      <c r="AC21" s="3">
        <v>1</v>
      </c>
      <c r="AD21" s="3">
        <v>0.40442420799808998</v>
      </c>
      <c r="AE21" s="3" t="s">
        <v>45</v>
      </c>
      <c r="AF21" s="3">
        <v>0</v>
      </c>
      <c r="AG21" s="2"/>
      <c r="AH21" s="2"/>
      <c r="AI21" s="2"/>
      <c r="AJ21" s="2"/>
      <c r="AK21" s="3" t="s">
        <v>46</v>
      </c>
      <c r="AL21" s="3">
        <v>1</v>
      </c>
      <c r="AM21" s="3" t="s">
        <v>47</v>
      </c>
      <c r="AN21" s="3" t="s">
        <v>48</v>
      </c>
      <c r="AO21" s="2"/>
      <c r="AP21" s="3" t="s">
        <v>49</v>
      </c>
      <c r="AQ21" s="3">
        <v>121.07789498818499</v>
      </c>
      <c r="AR21" s="3" t="s">
        <v>50</v>
      </c>
    </row>
    <row r="22" spans="1:44" x14ac:dyDescent="0.2">
      <c r="A22" s="1">
        <v>19</v>
      </c>
      <c r="B22" s="3">
        <v>0</v>
      </c>
      <c r="C22" s="3">
        <v>19</v>
      </c>
      <c r="D22" s="3" t="s">
        <v>52</v>
      </c>
      <c r="E22" s="3">
        <v>1</v>
      </c>
      <c r="F22" s="3">
        <v>0.558770916999492</v>
      </c>
      <c r="G22" s="3" t="s">
        <v>45</v>
      </c>
      <c r="H22" s="3">
        <v>-4</v>
      </c>
      <c r="I22" s="3">
        <v>19</v>
      </c>
      <c r="J22" s="3">
        <v>0</v>
      </c>
      <c r="K22" s="3">
        <v>19</v>
      </c>
      <c r="L22" s="3">
        <v>0</v>
      </c>
      <c r="M22" s="3">
        <v>41.842486667003001</v>
      </c>
      <c r="N22" s="2"/>
      <c r="O22" s="2"/>
      <c r="P22" s="2"/>
      <c r="Q22" s="2"/>
      <c r="R22" s="2"/>
      <c r="S22" s="2"/>
      <c r="T22" s="2"/>
      <c r="U22" s="2"/>
      <c r="V22" s="2"/>
      <c r="W22" s="3">
        <v>41.834247083003</v>
      </c>
      <c r="X22" s="3">
        <v>41.842486667003001</v>
      </c>
      <c r="Y22" s="3">
        <v>42.826358541999099</v>
      </c>
      <c r="Z22" s="3">
        <v>42.834706417001101</v>
      </c>
      <c r="AA22" s="3">
        <v>43.393282416997003</v>
      </c>
      <c r="AB22" s="3" t="s">
        <v>52</v>
      </c>
      <c r="AC22" s="3">
        <v>1</v>
      </c>
      <c r="AD22" s="3">
        <v>0.558770916999492</v>
      </c>
      <c r="AE22" s="3" t="s">
        <v>45</v>
      </c>
      <c r="AF22" s="3">
        <v>-4</v>
      </c>
      <c r="AG22" s="2"/>
      <c r="AH22" s="2"/>
      <c r="AI22" s="2"/>
      <c r="AJ22" s="2"/>
      <c r="AK22" s="3" t="s">
        <v>46</v>
      </c>
      <c r="AL22" s="3">
        <v>1</v>
      </c>
      <c r="AM22" s="3" t="s">
        <v>47</v>
      </c>
      <c r="AN22" s="3" t="s">
        <v>48</v>
      </c>
      <c r="AO22" s="2"/>
      <c r="AP22" s="3" t="s">
        <v>49</v>
      </c>
      <c r="AQ22" s="3">
        <v>121.07789498818499</v>
      </c>
      <c r="AR22" s="3" t="s">
        <v>50</v>
      </c>
    </row>
    <row r="23" spans="1:44" x14ac:dyDescent="0.2">
      <c r="A23" s="1">
        <v>20</v>
      </c>
      <c r="B23" s="3">
        <v>0</v>
      </c>
      <c r="C23" s="3">
        <v>20</v>
      </c>
      <c r="D23" s="3" t="s">
        <v>51</v>
      </c>
      <c r="E23" s="3">
        <v>0</v>
      </c>
      <c r="F23" s="3">
        <v>0.53969158399559103</v>
      </c>
      <c r="G23" s="3" t="s">
        <v>45</v>
      </c>
      <c r="H23" s="3">
        <v>1</v>
      </c>
      <c r="I23" s="3">
        <v>20</v>
      </c>
      <c r="J23" s="3">
        <v>0</v>
      </c>
      <c r="K23" s="3">
        <v>20</v>
      </c>
      <c r="L23" s="3">
        <v>0</v>
      </c>
      <c r="M23" s="3">
        <v>43.401367457998298</v>
      </c>
      <c r="N23" s="2"/>
      <c r="O23" s="2"/>
      <c r="P23" s="2"/>
      <c r="Q23" s="2"/>
      <c r="R23" s="2"/>
      <c r="S23" s="2"/>
      <c r="T23" s="2"/>
      <c r="U23" s="2"/>
      <c r="V23" s="2"/>
      <c r="W23" s="3">
        <v>43.3933501669962</v>
      </c>
      <c r="X23" s="3">
        <v>43.401367457998298</v>
      </c>
      <c r="Y23" s="3">
        <v>44.384403625001099</v>
      </c>
      <c r="Z23" s="3">
        <v>44.393018333001201</v>
      </c>
      <c r="AA23" s="3">
        <v>44.926656000003298</v>
      </c>
      <c r="AB23" s="3" t="s">
        <v>51</v>
      </c>
      <c r="AC23" s="3">
        <v>0</v>
      </c>
      <c r="AD23" s="3">
        <v>0.53969158399559103</v>
      </c>
      <c r="AE23" s="3" t="s">
        <v>45</v>
      </c>
      <c r="AF23" s="3">
        <v>1</v>
      </c>
      <c r="AG23" s="2"/>
      <c r="AH23" s="2"/>
      <c r="AI23" s="2"/>
      <c r="AJ23" s="2"/>
      <c r="AK23" s="3" t="s">
        <v>46</v>
      </c>
      <c r="AL23" s="3">
        <v>1</v>
      </c>
      <c r="AM23" s="3" t="s">
        <v>47</v>
      </c>
      <c r="AN23" s="3" t="s">
        <v>48</v>
      </c>
      <c r="AO23" s="2"/>
      <c r="AP23" s="3" t="s">
        <v>49</v>
      </c>
      <c r="AQ23" s="3">
        <v>121.07789498818499</v>
      </c>
      <c r="AR23" s="3" t="s">
        <v>50</v>
      </c>
    </row>
    <row r="24" spans="1:44" x14ac:dyDescent="0.2">
      <c r="A24" s="1">
        <v>21</v>
      </c>
      <c r="B24" s="3">
        <v>0</v>
      </c>
      <c r="C24" s="3">
        <v>21</v>
      </c>
      <c r="D24" s="3" t="s">
        <v>51</v>
      </c>
      <c r="E24" s="3">
        <v>1</v>
      </c>
      <c r="F24" s="3">
        <v>2.3872544999976499</v>
      </c>
      <c r="G24" s="3" t="s">
        <v>45</v>
      </c>
      <c r="H24" s="3">
        <v>0</v>
      </c>
      <c r="I24" s="3">
        <v>21</v>
      </c>
      <c r="J24" s="3">
        <v>0</v>
      </c>
      <c r="K24" s="3">
        <v>21</v>
      </c>
      <c r="L24" s="3">
        <v>0</v>
      </c>
      <c r="M24" s="3">
        <v>44.934672750001504</v>
      </c>
      <c r="N24" s="2"/>
      <c r="O24" s="2"/>
      <c r="P24" s="2"/>
      <c r="Q24" s="2"/>
      <c r="R24" s="2"/>
      <c r="S24" s="2"/>
      <c r="T24" s="2"/>
      <c r="U24" s="2"/>
      <c r="V24" s="2"/>
      <c r="W24" s="3">
        <v>44.9267150419983</v>
      </c>
      <c r="X24" s="3">
        <v>44.934672750001504</v>
      </c>
      <c r="Y24" s="3">
        <v>45.917716832998899</v>
      </c>
      <c r="Z24" s="3">
        <v>45.926300207997002</v>
      </c>
      <c r="AA24" s="3">
        <v>48.309743332996703</v>
      </c>
      <c r="AB24" s="3" t="s">
        <v>51</v>
      </c>
      <c r="AC24" s="3">
        <v>1</v>
      </c>
      <c r="AD24" s="3">
        <v>2.3872544999976499</v>
      </c>
      <c r="AE24" s="3" t="s">
        <v>45</v>
      </c>
      <c r="AF24" s="3">
        <v>0</v>
      </c>
      <c r="AG24" s="2"/>
      <c r="AH24" s="2"/>
      <c r="AI24" s="2"/>
      <c r="AJ24" s="2"/>
      <c r="AK24" s="3" t="s">
        <v>46</v>
      </c>
      <c r="AL24" s="3">
        <v>1</v>
      </c>
      <c r="AM24" s="3" t="s">
        <v>47</v>
      </c>
      <c r="AN24" s="3" t="s">
        <v>48</v>
      </c>
      <c r="AO24" s="2"/>
      <c r="AP24" s="3" t="s">
        <v>49</v>
      </c>
      <c r="AQ24" s="3">
        <v>121.07789498818499</v>
      </c>
      <c r="AR24" s="3" t="s">
        <v>50</v>
      </c>
    </row>
    <row r="25" spans="1:44" x14ac:dyDescent="0.2">
      <c r="A25" s="1">
        <v>22</v>
      </c>
      <c r="B25" s="3">
        <v>0</v>
      </c>
      <c r="C25" s="3">
        <v>22</v>
      </c>
      <c r="D25" s="3" t="s">
        <v>51</v>
      </c>
      <c r="E25" s="3">
        <v>1</v>
      </c>
      <c r="F25" s="3">
        <v>0.56964612499723399</v>
      </c>
      <c r="G25" s="3" t="s">
        <v>45</v>
      </c>
      <c r="H25" s="3">
        <v>0</v>
      </c>
      <c r="I25" s="3">
        <v>22</v>
      </c>
      <c r="J25" s="3">
        <v>0</v>
      </c>
      <c r="K25" s="3">
        <v>22</v>
      </c>
      <c r="L25" s="3">
        <v>0</v>
      </c>
      <c r="M25" s="3">
        <v>48.317974124998699</v>
      </c>
      <c r="N25" s="2"/>
      <c r="O25" s="2"/>
      <c r="P25" s="2"/>
      <c r="Q25" s="2"/>
      <c r="R25" s="2"/>
      <c r="S25" s="2"/>
      <c r="T25" s="2"/>
      <c r="U25" s="2"/>
      <c r="V25" s="2"/>
      <c r="W25" s="3">
        <v>48.309813250001802</v>
      </c>
      <c r="X25" s="3">
        <v>48.317974124998699</v>
      </c>
      <c r="Y25" s="3">
        <v>49.301241916997199</v>
      </c>
      <c r="Z25" s="3">
        <v>49.309637625003198</v>
      </c>
      <c r="AA25" s="3">
        <v>49.876708458003101</v>
      </c>
      <c r="AB25" s="3" t="s">
        <v>51</v>
      </c>
      <c r="AC25" s="3">
        <v>1</v>
      </c>
      <c r="AD25" s="3">
        <v>0.56964612499723399</v>
      </c>
      <c r="AE25" s="3" t="s">
        <v>45</v>
      </c>
      <c r="AF25" s="3">
        <v>0</v>
      </c>
      <c r="AG25" s="2"/>
      <c r="AH25" s="2"/>
      <c r="AI25" s="2"/>
      <c r="AJ25" s="2"/>
      <c r="AK25" s="3" t="s">
        <v>46</v>
      </c>
      <c r="AL25" s="3">
        <v>1</v>
      </c>
      <c r="AM25" s="3" t="s">
        <v>47</v>
      </c>
      <c r="AN25" s="3" t="s">
        <v>48</v>
      </c>
      <c r="AO25" s="2"/>
      <c r="AP25" s="3" t="s">
        <v>49</v>
      </c>
      <c r="AQ25" s="3">
        <v>121.07789498818499</v>
      </c>
      <c r="AR25" s="3" t="s">
        <v>50</v>
      </c>
    </row>
    <row r="26" spans="1:44" x14ac:dyDescent="0.2">
      <c r="A26" s="1">
        <v>23</v>
      </c>
      <c r="B26" s="3">
        <v>0</v>
      </c>
      <c r="C26" s="3">
        <v>23</v>
      </c>
      <c r="D26" s="3" t="s">
        <v>51</v>
      </c>
      <c r="E26" s="3">
        <v>1</v>
      </c>
      <c r="F26" s="3">
        <v>0.58989779100374995</v>
      </c>
      <c r="G26" s="3" t="s">
        <v>45</v>
      </c>
      <c r="H26" s="3">
        <v>0</v>
      </c>
      <c r="I26" s="3">
        <v>23</v>
      </c>
      <c r="J26" s="3">
        <v>0</v>
      </c>
      <c r="K26" s="3">
        <v>23</v>
      </c>
      <c r="L26" s="3">
        <v>0</v>
      </c>
      <c r="M26" s="3">
        <v>49.884644042002002</v>
      </c>
      <c r="N26" s="2"/>
      <c r="O26" s="2"/>
      <c r="P26" s="2"/>
      <c r="Q26" s="2"/>
      <c r="R26" s="2"/>
      <c r="S26" s="2"/>
      <c r="T26" s="2"/>
      <c r="U26" s="2"/>
      <c r="V26" s="2"/>
      <c r="W26" s="3">
        <v>49.876774416996298</v>
      </c>
      <c r="X26" s="3">
        <v>49.884644042002002</v>
      </c>
      <c r="Y26" s="3">
        <v>50.867931291999398</v>
      </c>
      <c r="Z26" s="3">
        <v>50.876322083000602</v>
      </c>
      <c r="AA26" s="3">
        <v>51.459539458002801</v>
      </c>
      <c r="AB26" s="3" t="s">
        <v>51</v>
      </c>
      <c r="AC26" s="3">
        <v>1</v>
      </c>
      <c r="AD26" s="3">
        <v>0.58989779100374995</v>
      </c>
      <c r="AE26" s="3" t="s">
        <v>45</v>
      </c>
      <c r="AF26" s="3">
        <v>0</v>
      </c>
      <c r="AG26" s="2"/>
      <c r="AH26" s="2"/>
      <c r="AI26" s="2"/>
      <c r="AJ26" s="2"/>
      <c r="AK26" s="3" t="s">
        <v>46</v>
      </c>
      <c r="AL26" s="3">
        <v>1</v>
      </c>
      <c r="AM26" s="3" t="s">
        <v>47</v>
      </c>
      <c r="AN26" s="3" t="s">
        <v>48</v>
      </c>
      <c r="AO26" s="2"/>
      <c r="AP26" s="3" t="s">
        <v>49</v>
      </c>
      <c r="AQ26" s="3">
        <v>121.07789498818499</v>
      </c>
      <c r="AR26" s="3" t="s">
        <v>50</v>
      </c>
    </row>
    <row r="27" spans="1:44" x14ac:dyDescent="0.2">
      <c r="A27" s="1">
        <v>24</v>
      </c>
      <c r="B27" s="3">
        <v>0</v>
      </c>
      <c r="C27" s="3">
        <v>24</v>
      </c>
      <c r="D27" s="3" t="s">
        <v>51</v>
      </c>
      <c r="E27" s="3">
        <v>1</v>
      </c>
      <c r="F27" s="3">
        <v>0.52362987500237101</v>
      </c>
      <c r="G27" s="3" t="s">
        <v>45</v>
      </c>
      <c r="H27" s="3">
        <v>0</v>
      </c>
      <c r="I27" s="3">
        <v>24</v>
      </c>
      <c r="J27" s="3">
        <v>0</v>
      </c>
      <c r="K27" s="3">
        <v>24</v>
      </c>
      <c r="L27" s="3">
        <v>0</v>
      </c>
      <c r="M27" s="3">
        <v>51.468033249999301</v>
      </c>
      <c r="N27" s="2"/>
      <c r="O27" s="2"/>
      <c r="P27" s="2"/>
      <c r="Q27" s="2"/>
      <c r="R27" s="2"/>
      <c r="S27" s="2"/>
      <c r="T27" s="2"/>
      <c r="U27" s="2"/>
      <c r="V27" s="2"/>
      <c r="W27" s="3">
        <v>51.459599875000997</v>
      </c>
      <c r="X27" s="3">
        <v>51.468033249999301</v>
      </c>
      <c r="Y27" s="3">
        <v>52.451250707999897</v>
      </c>
      <c r="Z27" s="3">
        <v>52.459509792002798</v>
      </c>
      <c r="AA27" s="3">
        <v>52.975891166999602</v>
      </c>
      <c r="AB27" s="3" t="s">
        <v>51</v>
      </c>
      <c r="AC27" s="3">
        <v>1</v>
      </c>
      <c r="AD27" s="3">
        <v>0.52362987500237101</v>
      </c>
      <c r="AE27" s="3" t="s">
        <v>45</v>
      </c>
      <c r="AF27" s="3">
        <v>0</v>
      </c>
      <c r="AG27" s="2"/>
      <c r="AH27" s="2"/>
      <c r="AI27" s="2"/>
      <c r="AJ27" s="2"/>
      <c r="AK27" s="3" t="s">
        <v>46</v>
      </c>
      <c r="AL27" s="3">
        <v>1</v>
      </c>
      <c r="AM27" s="3" t="s">
        <v>47</v>
      </c>
      <c r="AN27" s="3" t="s">
        <v>48</v>
      </c>
      <c r="AO27" s="2"/>
      <c r="AP27" s="3" t="s">
        <v>49</v>
      </c>
      <c r="AQ27" s="3">
        <v>121.07789498818499</v>
      </c>
      <c r="AR27" s="3" t="s">
        <v>50</v>
      </c>
    </row>
    <row r="28" spans="1:44" x14ac:dyDescent="0.2">
      <c r="A28" s="1">
        <v>25</v>
      </c>
      <c r="B28" s="3">
        <v>0</v>
      </c>
      <c r="C28" s="3">
        <v>25</v>
      </c>
      <c r="D28" s="3" t="s">
        <v>51</v>
      </c>
      <c r="E28" s="3">
        <v>1</v>
      </c>
      <c r="F28" s="3">
        <v>0.44795158399938401</v>
      </c>
      <c r="G28" s="3" t="s">
        <v>45</v>
      </c>
      <c r="H28" s="3">
        <v>0</v>
      </c>
      <c r="I28" s="3">
        <v>25</v>
      </c>
      <c r="J28" s="3">
        <v>0</v>
      </c>
      <c r="K28" s="3">
        <v>25</v>
      </c>
      <c r="L28" s="3">
        <v>0</v>
      </c>
      <c r="M28" s="3">
        <v>52.984506041997498</v>
      </c>
      <c r="N28" s="2"/>
      <c r="O28" s="2"/>
      <c r="P28" s="2"/>
      <c r="Q28" s="2"/>
      <c r="R28" s="2"/>
      <c r="S28" s="2"/>
      <c r="T28" s="2"/>
      <c r="U28" s="2"/>
      <c r="V28" s="2"/>
      <c r="W28" s="3">
        <v>52.975951125001302</v>
      </c>
      <c r="X28" s="3">
        <v>52.984506041997498</v>
      </c>
      <c r="Y28" s="3">
        <v>53.967756457997901</v>
      </c>
      <c r="Z28" s="3">
        <v>53.975881042002598</v>
      </c>
      <c r="AA28" s="3">
        <v>54.418059957999503</v>
      </c>
      <c r="AB28" s="3" t="s">
        <v>51</v>
      </c>
      <c r="AC28" s="3">
        <v>1</v>
      </c>
      <c r="AD28" s="3">
        <v>0.44795158399938401</v>
      </c>
      <c r="AE28" s="3" t="s">
        <v>45</v>
      </c>
      <c r="AF28" s="3">
        <v>0</v>
      </c>
      <c r="AG28" s="2"/>
      <c r="AH28" s="2"/>
      <c r="AI28" s="2"/>
      <c r="AJ28" s="2"/>
      <c r="AK28" s="3" t="s">
        <v>46</v>
      </c>
      <c r="AL28" s="3">
        <v>1</v>
      </c>
      <c r="AM28" s="3" t="s">
        <v>47</v>
      </c>
      <c r="AN28" s="3" t="s">
        <v>48</v>
      </c>
      <c r="AO28" s="2"/>
      <c r="AP28" s="3" t="s">
        <v>49</v>
      </c>
      <c r="AQ28" s="3">
        <v>121.07789498818499</v>
      </c>
      <c r="AR28" s="3" t="s">
        <v>50</v>
      </c>
    </row>
    <row r="29" spans="1:44" x14ac:dyDescent="0.2">
      <c r="A29" s="1">
        <v>26</v>
      </c>
      <c r="B29" s="3">
        <v>0</v>
      </c>
      <c r="C29" s="3">
        <v>26</v>
      </c>
      <c r="D29" s="3" t="s">
        <v>52</v>
      </c>
      <c r="E29" s="3">
        <v>1</v>
      </c>
      <c r="F29" s="3">
        <v>0.68447983299847703</v>
      </c>
      <c r="G29" s="3" t="s">
        <v>45</v>
      </c>
      <c r="H29" s="3">
        <v>2</v>
      </c>
      <c r="I29" s="3">
        <v>26</v>
      </c>
      <c r="J29" s="3">
        <v>0</v>
      </c>
      <c r="K29" s="3">
        <v>26</v>
      </c>
      <c r="L29" s="3">
        <v>0</v>
      </c>
      <c r="M29" s="3">
        <v>54.426208249999</v>
      </c>
      <c r="N29" s="2"/>
      <c r="O29" s="2"/>
      <c r="P29" s="2"/>
      <c r="Q29" s="2"/>
      <c r="R29" s="2"/>
      <c r="S29" s="2"/>
      <c r="T29" s="2"/>
      <c r="U29" s="2"/>
      <c r="V29" s="2"/>
      <c r="W29" s="3">
        <v>54.418131541999202</v>
      </c>
      <c r="X29" s="3">
        <v>54.426208249999</v>
      </c>
      <c r="Y29" s="3">
        <v>55.409200707996199</v>
      </c>
      <c r="Z29" s="3">
        <v>55.417907832997997</v>
      </c>
      <c r="AA29" s="3">
        <v>56.101053250000398</v>
      </c>
      <c r="AB29" s="3" t="s">
        <v>52</v>
      </c>
      <c r="AC29" s="3">
        <v>1</v>
      </c>
      <c r="AD29" s="3">
        <v>0.68447983299847703</v>
      </c>
      <c r="AE29" s="3" t="s">
        <v>45</v>
      </c>
      <c r="AF29" s="3">
        <v>2</v>
      </c>
      <c r="AG29" s="2"/>
      <c r="AH29" s="2"/>
      <c r="AI29" s="2"/>
      <c r="AJ29" s="2"/>
      <c r="AK29" s="3" t="s">
        <v>46</v>
      </c>
      <c r="AL29" s="3">
        <v>1</v>
      </c>
      <c r="AM29" s="3" t="s">
        <v>47</v>
      </c>
      <c r="AN29" s="3" t="s">
        <v>48</v>
      </c>
      <c r="AO29" s="2"/>
      <c r="AP29" s="3" t="s">
        <v>49</v>
      </c>
      <c r="AQ29" s="3">
        <v>121.07789498818499</v>
      </c>
      <c r="AR29" s="3" t="s">
        <v>50</v>
      </c>
    </row>
    <row r="30" spans="1:44" x14ac:dyDescent="0.2">
      <c r="A30" s="1">
        <v>27</v>
      </c>
      <c r="B30" s="3">
        <v>0</v>
      </c>
      <c r="C30" s="3">
        <v>27</v>
      </c>
      <c r="D30" s="3" t="s">
        <v>51</v>
      </c>
      <c r="E30" s="3">
        <v>1</v>
      </c>
      <c r="F30" s="3">
        <v>0.66486325000005297</v>
      </c>
      <c r="G30" s="3" t="s">
        <v>45</v>
      </c>
      <c r="H30" s="3">
        <v>0</v>
      </c>
      <c r="I30" s="3">
        <v>27</v>
      </c>
      <c r="J30" s="3">
        <v>0</v>
      </c>
      <c r="K30" s="3">
        <v>27</v>
      </c>
      <c r="L30" s="3">
        <v>0</v>
      </c>
      <c r="M30" s="3">
        <v>56.109171999996803</v>
      </c>
      <c r="N30" s="2"/>
      <c r="O30" s="2"/>
      <c r="P30" s="2"/>
      <c r="Q30" s="2"/>
      <c r="R30" s="2"/>
      <c r="S30" s="2"/>
      <c r="T30" s="2"/>
      <c r="U30" s="2"/>
      <c r="V30" s="2"/>
      <c r="W30" s="3">
        <v>56.101116083002097</v>
      </c>
      <c r="X30" s="3">
        <v>56.109171999996803</v>
      </c>
      <c r="Y30" s="3">
        <v>57.092738416999097</v>
      </c>
      <c r="Z30" s="3">
        <v>57.101139207996297</v>
      </c>
      <c r="AA30" s="3">
        <v>57.759459583001401</v>
      </c>
      <c r="AB30" s="3" t="s">
        <v>51</v>
      </c>
      <c r="AC30" s="3">
        <v>1</v>
      </c>
      <c r="AD30" s="3">
        <v>0.66486325000005297</v>
      </c>
      <c r="AE30" s="3" t="s">
        <v>45</v>
      </c>
      <c r="AF30" s="3">
        <v>0</v>
      </c>
      <c r="AG30" s="2"/>
      <c r="AH30" s="2"/>
      <c r="AI30" s="2"/>
      <c r="AJ30" s="2"/>
      <c r="AK30" s="3" t="s">
        <v>46</v>
      </c>
      <c r="AL30" s="3">
        <v>1</v>
      </c>
      <c r="AM30" s="3" t="s">
        <v>47</v>
      </c>
      <c r="AN30" s="3" t="s">
        <v>48</v>
      </c>
      <c r="AO30" s="2"/>
      <c r="AP30" s="3" t="s">
        <v>49</v>
      </c>
      <c r="AQ30" s="3">
        <v>121.07789498818499</v>
      </c>
      <c r="AR30" s="3" t="s">
        <v>50</v>
      </c>
    </row>
    <row r="31" spans="1:44" x14ac:dyDescent="0.2">
      <c r="A31" s="1">
        <v>28</v>
      </c>
      <c r="B31" s="3">
        <v>0</v>
      </c>
      <c r="C31" s="3">
        <v>28</v>
      </c>
      <c r="D31" s="3" t="s">
        <v>51</v>
      </c>
      <c r="E31" s="3">
        <v>1</v>
      </c>
      <c r="F31" s="3">
        <v>0.49739354199846297</v>
      </c>
      <c r="G31" s="3" t="s">
        <v>45</v>
      </c>
      <c r="H31" s="3">
        <v>0</v>
      </c>
      <c r="I31" s="3">
        <v>28</v>
      </c>
      <c r="J31" s="3">
        <v>0</v>
      </c>
      <c r="K31" s="3">
        <v>28</v>
      </c>
      <c r="L31" s="3">
        <v>0</v>
      </c>
      <c r="M31" s="3">
        <v>57.767841832996098</v>
      </c>
      <c r="N31" s="2"/>
      <c r="O31" s="2"/>
      <c r="P31" s="2"/>
      <c r="Q31" s="2"/>
      <c r="R31" s="2"/>
      <c r="S31" s="2"/>
      <c r="T31" s="2"/>
      <c r="U31" s="2"/>
      <c r="V31" s="2"/>
      <c r="W31" s="3">
        <v>57.759518416998603</v>
      </c>
      <c r="X31" s="3">
        <v>57.767841832996098</v>
      </c>
      <c r="Y31" s="3">
        <v>58.751140499996801</v>
      </c>
      <c r="Z31" s="3">
        <v>58.759396542001902</v>
      </c>
      <c r="AA31" s="3">
        <v>59.251353207997496</v>
      </c>
      <c r="AB31" s="3" t="s">
        <v>51</v>
      </c>
      <c r="AC31" s="3">
        <v>1</v>
      </c>
      <c r="AD31" s="3">
        <v>0.49739354199846297</v>
      </c>
      <c r="AE31" s="3" t="s">
        <v>45</v>
      </c>
      <c r="AF31" s="3">
        <v>0</v>
      </c>
      <c r="AG31" s="2"/>
      <c r="AH31" s="2"/>
      <c r="AI31" s="2"/>
      <c r="AJ31" s="2"/>
      <c r="AK31" s="3" t="s">
        <v>46</v>
      </c>
      <c r="AL31" s="3">
        <v>1</v>
      </c>
      <c r="AM31" s="3" t="s">
        <v>47</v>
      </c>
      <c r="AN31" s="3" t="s">
        <v>48</v>
      </c>
      <c r="AO31" s="2"/>
      <c r="AP31" s="3" t="s">
        <v>49</v>
      </c>
      <c r="AQ31" s="3">
        <v>121.07789498818499</v>
      </c>
      <c r="AR31" s="3" t="s">
        <v>50</v>
      </c>
    </row>
    <row r="32" spans="1:44" x14ac:dyDescent="0.2">
      <c r="A32" s="1">
        <v>29</v>
      </c>
      <c r="B32" s="3">
        <v>0</v>
      </c>
      <c r="C32" s="3">
        <v>29</v>
      </c>
      <c r="D32" s="3" t="s">
        <v>51</v>
      </c>
      <c r="E32" s="3">
        <v>1</v>
      </c>
      <c r="F32" s="3">
        <v>0.49399979200097699</v>
      </c>
      <c r="G32" s="3" t="s">
        <v>45</v>
      </c>
      <c r="H32" s="3">
        <v>0</v>
      </c>
      <c r="I32" s="3">
        <v>29</v>
      </c>
      <c r="J32" s="3">
        <v>0</v>
      </c>
      <c r="K32" s="3">
        <v>29</v>
      </c>
      <c r="L32" s="3">
        <v>0</v>
      </c>
      <c r="M32" s="3">
        <v>59.259485624999797</v>
      </c>
      <c r="N32" s="2"/>
      <c r="O32" s="2"/>
      <c r="P32" s="2"/>
      <c r="Q32" s="2"/>
      <c r="R32" s="2"/>
      <c r="S32" s="2"/>
      <c r="T32" s="2"/>
      <c r="U32" s="2"/>
      <c r="V32" s="2"/>
      <c r="W32" s="3">
        <v>59.251413749996601</v>
      </c>
      <c r="X32" s="3">
        <v>59.259485624999797</v>
      </c>
      <c r="Y32" s="3">
        <v>60.242499667001503</v>
      </c>
      <c r="Z32" s="3">
        <v>60.250898457998098</v>
      </c>
      <c r="AA32" s="3">
        <v>60.742951332998899</v>
      </c>
      <c r="AB32" s="3" t="s">
        <v>51</v>
      </c>
      <c r="AC32" s="3">
        <v>1</v>
      </c>
      <c r="AD32" s="3">
        <v>0.49399979200097699</v>
      </c>
      <c r="AE32" s="3" t="s">
        <v>45</v>
      </c>
      <c r="AF32" s="3">
        <v>0</v>
      </c>
      <c r="AG32" s="2"/>
      <c r="AH32" s="2"/>
      <c r="AI32" s="2"/>
      <c r="AJ32" s="2"/>
      <c r="AK32" s="3" t="s">
        <v>46</v>
      </c>
      <c r="AL32" s="3">
        <v>1</v>
      </c>
      <c r="AM32" s="3" t="s">
        <v>47</v>
      </c>
      <c r="AN32" s="3" t="s">
        <v>48</v>
      </c>
      <c r="AO32" s="2"/>
      <c r="AP32" s="3" t="s">
        <v>49</v>
      </c>
      <c r="AQ32" s="3">
        <v>121.07789498818499</v>
      </c>
      <c r="AR32" s="3" t="s">
        <v>50</v>
      </c>
    </row>
    <row r="33" spans="1:44" x14ac:dyDescent="0.2">
      <c r="A33" s="1">
        <v>30</v>
      </c>
      <c r="B33" s="3">
        <v>0</v>
      </c>
      <c r="C33" s="3">
        <v>30</v>
      </c>
      <c r="D33" s="3" t="s">
        <v>52</v>
      </c>
      <c r="E33" s="3">
        <v>1</v>
      </c>
      <c r="F33" s="3">
        <v>0.57205874999635897</v>
      </c>
      <c r="G33" s="3" t="s">
        <v>45</v>
      </c>
      <c r="H33" s="3">
        <v>3</v>
      </c>
      <c r="I33" s="3">
        <v>30</v>
      </c>
      <c r="J33" s="3">
        <v>0</v>
      </c>
      <c r="K33" s="3">
        <v>30</v>
      </c>
      <c r="L33" s="3">
        <v>0</v>
      </c>
      <c r="M33" s="3">
        <v>60.751120708002396</v>
      </c>
      <c r="N33" s="2"/>
      <c r="O33" s="2"/>
      <c r="P33" s="2"/>
      <c r="Q33" s="2"/>
      <c r="R33" s="2"/>
      <c r="S33" s="2"/>
      <c r="T33" s="2"/>
      <c r="U33" s="2"/>
      <c r="V33" s="2"/>
      <c r="W33" s="3">
        <v>60.743022374997999</v>
      </c>
      <c r="X33" s="3">
        <v>60.751120708002396</v>
      </c>
      <c r="Y33" s="3">
        <v>61.734383167000502</v>
      </c>
      <c r="Z33" s="3">
        <v>61.742793500001397</v>
      </c>
      <c r="AA33" s="3">
        <v>62.309657749996397</v>
      </c>
      <c r="AB33" s="3" t="s">
        <v>52</v>
      </c>
      <c r="AC33" s="3">
        <v>1</v>
      </c>
      <c r="AD33" s="3">
        <v>0.57205874999635897</v>
      </c>
      <c r="AE33" s="3" t="s">
        <v>45</v>
      </c>
      <c r="AF33" s="3">
        <v>3</v>
      </c>
      <c r="AG33" s="2"/>
      <c r="AH33" s="2"/>
      <c r="AI33" s="2"/>
      <c r="AJ33" s="2"/>
      <c r="AK33" s="3" t="s">
        <v>46</v>
      </c>
      <c r="AL33" s="3">
        <v>1</v>
      </c>
      <c r="AM33" s="3" t="s">
        <v>47</v>
      </c>
      <c r="AN33" s="3" t="s">
        <v>48</v>
      </c>
      <c r="AO33" s="2"/>
      <c r="AP33" s="3" t="s">
        <v>49</v>
      </c>
      <c r="AQ33" s="3">
        <v>121.07789498818499</v>
      </c>
      <c r="AR33" s="3" t="s">
        <v>50</v>
      </c>
    </row>
    <row r="34" spans="1:44" x14ac:dyDescent="0.2">
      <c r="A34" s="1">
        <v>31</v>
      </c>
      <c r="B34" s="3">
        <v>0</v>
      </c>
      <c r="C34" s="3">
        <v>31</v>
      </c>
      <c r="D34" s="3" t="s">
        <v>51</v>
      </c>
      <c r="E34" s="3">
        <v>1</v>
      </c>
      <c r="F34" s="3">
        <v>0.51145479200204103</v>
      </c>
      <c r="G34" s="3" t="s">
        <v>45</v>
      </c>
      <c r="H34" s="3">
        <v>0</v>
      </c>
      <c r="I34" s="3">
        <v>31</v>
      </c>
      <c r="J34" s="3">
        <v>0</v>
      </c>
      <c r="K34" s="3">
        <v>31</v>
      </c>
      <c r="L34" s="3">
        <v>0</v>
      </c>
      <c r="M34" s="3">
        <v>62.317815082998997</v>
      </c>
      <c r="N34" s="2"/>
      <c r="O34" s="2"/>
      <c r="P34" s="2"/>
      <c r="Q34" s="2"/>
      <c r="R34" s="2"/>
      <c r="S34" s="2"/>
      <c r="T34" s="2"/>
      <c r="U34" s="2"/>
      <c r="V34" s="2"/>
      <c r="W34" s="3">
        <v>62.309716666997701</v>
      </c>
      <c r="X34" s="3">
        <v>62.317815082998997</v>
      </c>
      <c r="Y34" s="3">
        <v>63.300929917000801</v>
      </c>
      <c r="Z34" s="3">
        <v>63.309338667000702</v>
      </c>
      <c r="AA34" s="3">
        <v>63.817937041996601</v>
      </c>
      <c r="AB34" s="3" t="s">
        <v>51</v>
      </c>
      <c r="AC34" s="3">
        <v>1</v>
      </c>
      <c r="AD34" s="3">
        <v>0.51145479200204103</v>
      </c>
      <c r="AE34" s="3" t="s">
        <v>45</v>
      </c>
      <c r="AF34" s="3">
        <v>0</v>
      </c>
      <c r="AG34" s="2"/>
      <c r="AH34" s="2"/>
      <c r="AI34" s="2"/>
      <c r="AJ34" s="2"/>
      <c r="AK34" s="3" t="s">
        <v>46</v>
      </c>
      <c r="AL34" s="3">
        <v>1</v>
      </c>
      <c r="AM34" s="3" t="s">
        <v>47</v>
      </c>
      <c r="AN34" s="3" t="s">
        <v>48</v>
      </c>
      <c r="AO34" s="2"/>
      <c r="AP34" s="3" t="s">
        <v>49</v>
      </c>
      <c r="AQ34" s="3">
        <v>121.07789498818499</v>
      </c>
      <c r="AR34" s="3" t="s">
        <v>50</v>
      </c>
    </row>
    <row r="35" spans="1:44" x14ac:dyDescent="0.2">
      <c r="A35" s="1">
        <v>32</v>
      </c>
      <c r="B35" s="3">
        <v>0</v>
      </c>
      <c r="C35" s="3">
        <v>32</v>
      </c>
      <c r="D35" s="3" t="s">
        <v>51</v>
      </c>
      <c r="E35" s="3">
        <v>1</v>
      </c>
      <c r="F35" s="3">
        <v>0.52496329199493597</v>
      </c>
      <c r="G35" s="3" t="s">
        <v>45</v>
      </c>
      <c r="H35" s="3">
        <v>0</v>
      </c>
      <c r="I35" s="3">
        <v>32</v>
      </c>
      <c r="J35" s="3">
        <v>0</v>
      </c>
      <c r="K35" s="3">
        <v>32</v>
      </c>
      <c r="L35" s="3">
        <v>0</v>
      </c>
      <c r="M35" s="3">
        <v>63.826128207998401</v>
      </c>
      <c r="N35" s="2"/>
      <c r="O35" s="2"/>
      <c r="P35" s="2"/>
      <c r="Q35" s="2"/>
      <c r="R35" s="2"/>
      <c r="S35" s="2"/>
      <c r="T35" s="2"/>
      <c r="U35" s="2"/>
      <c r="V35" s="2"/>
      <c r="W35" s="3">
        <v>63.817997582998899</v>
      </c>
      <c r="X35" s="3">
        <v>63.826128207998401</v>
      </c>
      <c r="Y35" s="3">
        <v>64.8093714999995</v>
      </c>
      <c r="Z35" s="3">
        <v>64.817763416998801</v>
      </c>
      <c r="AA35" s="3">
        <v>65.342670666999794</v>
      </c>
      <c r="AB35" s="3" t="s">
        <v>51</v>
      </c>
      <c r="AC35" s="3">
        <v>1</v>
      </c>
      <c r="AD35" s="3">
        <v>0.52496329199493597</v>
      </c>
      <c r="AE35" s="3" t="s">
        <v>45</v>
      </c>
      <c r="AF35" s="3">
        <v>0</v>
      </c>
      <c r="AG35" s="2"/>
      <c r="AH35" s="2"/>
      <c r="AI35" s="2"/>
      <c r="AJ35" s="2"/>
      <c r="AK35" s="3" t="s">
        <v>46</v>
      </c>
      <c r="AL35" s="3">
        <v>1</v>
      </c>
      <c r="AM35" s="3" t="s">
        <v>47</v>
      </c>
      <c r="AN35" s="3" t="s">
        <v>48</v>
      </c>
      <c r="AO35" s="2"/>
      <c r="AP35" s="3" t="s">
        <v>49</v>
      </c>
      <c r="AQ35" s="3">
        <v>121.07789498818499</v>
      </c>
      <c r="AR35" s="3" t="s">
        <v>50</v>
      </c>
    </row>
    <row r="36" spans="1:44" x14ac:dyDescent="0.2">
      <c r="A36" s="1">
        <v>33</v>
      </c>
      <c r="B36" s="3">
        <v>0</v>
      </c>
      <c r="C36" s="3">
        <v>33</v>
      </c>
      <c r="D36" s="3" t="s">
        <v>51</v>
      </c>
      <c r="E36" s="3">
        <v>0</v>
      </c>
      <c r="F36" s="3">
        <v>0.55881583299924398</v>
      </c>
      <c r="G36" s="3" t="s">
        <v>45</v>
      </c>
      <c r="H36" s="3">
        <v>1</v>
      </c>
      <c r="I36" s="3">
        <v>33</v>
      </c>
      <c r="J36" s="3">
        <v>0</v>
      </c>
      <c r="K36" s="3">
        <v>33</v>
      </c>
      <c r="L36" s="3">
        <v>0</v>
      </c>
      <c r="M36" s="3">
        <v>65.350651667002197</v>
      </c>
      <c r="N36" s="2"/>
      <c r="O36" s="2"/>
      <c r="P36" s="2"/>
      <c r="Q36" s="2"/>
      <c r="R36" s="2"/>
      <c r="S36" s="2"/>
      <c r="T36" s="2"/>
      <c r="U36" s="2"/>
      <c r="V36" s="2"/>
      <c r="W36" s="3">
        <v>65.342739749998202</v>
      </c>
      <c r="X36" s="3">
        <v>65.350651667002197</v>
      </c>
      <c r="Y36" s="3">
        <v>66.3344163750007</v>
      </c>
      <c r="Z36" s="3">
        <v>66.342636041998105</v>
      </c>
      <c r="AA36" s="3">
        <v>66.900997707998599</v>
      </c>
      <c r="AB36" s="3" t="s">
        <v>51</v>
      </c>
      <c r="AC36" s="3">
        <v>0</v>
      </c>
      <c r="AD36" s="3">
        <v>0.55881583299924398</v>
      </c>
      <c r="AE36" s="3" t="s">
        <v>45</v>
      </c>
      <c r="AF36" s="3">
        <v>1</v>
      </c>
      <c r="AG36" s="2"/>
      <c r="AH36" s="2"/>
      <c r="AI36" s="2"/>
      <c r="AJ36" s="2"/>
      <c r="AK36" s="3" t="s">
        <v>46</v>
      </c>
      <c r="AL36" s="3">
        <v>1</v>
      </c>
      <c r="AM36" s="3" t="s">
        <v>47</v>
      </c>
      <c r="AN36" s="3" t="s">
        <v>48</v>
      </c>
      <c r="AO36" s="2"/>
      <c r="AP36" s="3" t="s">
        <v>49</v>
      </c>
      <c r="AQ36" s="3">
        <v>121.07789498818499</v>
      </c>
      <c r="AR36" s="3" t="s">
        <v>50</v>
      </c>
    </row>
    <row r="37" spans="1:44" x14ac:dyDescent="0.2">
      <c r="A37" s="1">
        <v>34</v>
      </c>
      <c r="B37" s="3">
        <v>0</v>
      </c>
      <c r="C37" s="3">
        <v>34</v>
      </c>
      <c r="D37" s="3" t="s">
        <v>52</v>
      </c>
      <c r="E37" s="3">
        <v>1</v>
      </c>
      <c r="F37" s="3">
        <v>0.67275141600111998</v>
      </c>
      <c r="G37" s="3" t="s">
        <v>45</v>
      </c>
      <c r="H37" s="3">
        <v>-3</v>
      </c>
      <c r="I37" s="3">
        <v>34</v>
      </c>
      <c r="J37" s="3">
        <v>0</v>
      </c>
      <c r="K37" s="3">
        <v>34</v>
      </c>
      <c r="L37" s="3">
        <v>0</v>
      </c>
      <c r="M37" s="3">
        <v>66.908989582996597</v>
      </c>
      <c r="N37" s="2"/>
      <c r="O37" s="2"/>
      <c r="P37" s="2"/>
      <c r="Q37" s="2"/>
      <c r="R37" s="2"/>
      <c r="S37" s="2"/>
      <c r="T37" s="2"/>
      <c r="U37" s="2"/>
      <c r="V37" s="2"/>
      <c r="W37" s="3">
        <v>66.901074499997804</v>
      </c>
      <c r="X37" s="3">
        <v>66.908989582996597</v>
      </c>
      <c r="Y37" s="3">
        <v>67.892448042002798</v>
      </c>
      <c r="Z37" s="3">
        <v>67.900598041997</v>
      </c>
      <c r="AA37" s="3">
        <v>68.567941832996397</v>
      </c>
      <c r="AB37" s="3" t="s">
        <v>52</v>
      </c>
      <c r="AC37" s="3">
        <v>1</v>
      </c>
      <c r="AD37" s="3">
        <v>0.67275141600111998</v>
      </c>
      <c r="AE37" s="3" t="s">
        <v>45</v>
      </c>
      <c r="AF37" s="3">
        <v>-3</v>
      </c>
      <c r="AG37" s="2"/>
      <c r="AH37" s="2"/>
      <c r="AI37" s="2"/>
      <c r="AJ37" s="2"/>
      <c r="AK37" s="3" t="s">
        <v>46</v>
      </c>
      <c r="AL37" s="3">
        <v>1</v>
      </c>
      <c r="AM37" s="3" t="s">
        <v>47</v>
      </c>
      <c r="AN37" s="3" t="s">
        <v>48</v>
      </c>
      <c r="AO37" s="2"/>
      <c r="AP37" s="3" t="s">
        <v>49</v>
      </c>
      <c r="AQ37" s="3">
        <v>121.07789498818499</v>
      </c>
      <c r="AR37" s="3" t="s">
        <v>50</v>
      </c>
    </row>
    <row r="38" spans="1:44" x14ac:dyDescent="0.2">
      <c r="A38" s="1">
        <v>35</v>
      </c>
      <c r="B38" s="3">
        <v>0</v>
      </c>
      <c r="C38" s="3">
        <v>35</v>
      </c>
      <c r="D38" s="3" t="s">
        <v>51</v>
      </c>
      <c r="E38" s="3">
        <v>1</v>
      </c>
      <c r="F38" s="3">
        <v>0.48481012499541998</v>
      </c>
      <c r="G38" s="3" t="s">
        <v>45</v>
      </c>
      <c r="H38" s="3">
        <v>0</v>
      </c>
      <c r="I38" s="3">
        <v>35</v>
      </c>
      <c r="J38" s="3">
        <v>0</v>
      </c>
      <c r="K38" s="3">
        <v>35</v>
      </c>
      <c r="L38" s="3">
        <v>0</v>
      </c>
      <c r="M38" s="3">
        <v>68.576058042002799</v>
      </c>
      <c r="N38" s="2"/>
      <c r="O38" s="2"/>
      <c r="P38" s="2"/>
      <c r="Q38" s="2"/>
      <c r="R38" s="2"/>
      <c r="S38" s="2"/>
      <c r="T38" s="2"/>
      <c r="U38" s="2"/>
      <c r="V38" s="2"/>
      <c r="W38" s="3">
        <v>68.568002749998399</v>
      </c>
      <c r="X38" s="3">
        <v>68.576058042002799</v>
      </c>
      <c r="Y38" s="3">
        <v>69.559327499999199</v>
      </c>
      <c r="Z38" s="3">
        <v>69.567571082996395</v>
      </c>
      <c r="AA38" s="3">
        <v>70.051151874999107</v>
      </c>
      <c r="AB38" s="3" t="s">
        <v>51</v>
      </c>
      <c r="AC38" s="3">
        <v>1</v>
      </c>
      <c r="AD38" s="3">
        <v>0.48481012499541998</v>
      </c>
      <c r="AE38" s="3" t="s">
        <v>45</v>
      </c>
      <c r="AF38" s="3">
        <v>0</v>
      </c>
      <c r="AG38" s="2"/>
      <c r="AH38" s="2"/>
      <c r="AI38" s="2"/>
      <c r="AJ38" s="2"/>
      <c r="AK38" s="3" t="s">
        <v>46</v>
      </c>
      <c r="AL38" s="3">
        <v>1</v>
      </c>
      <c r="AM38" s="3" t="s">
        <v>47</v>
      </c>
      <c r="AN38" s="3" t="s">
        <v>48</v>
      </c>
      <c r="AO38" s="2"/>
      <c r="AP38" s="3" t="s">
        <v>49</v>
      </c>
      <c r="AQ38" s="3">
        <v>121.07789498818499</v>
      </c>
      <c r="AR38" s="3" t="s">
        <v>50</v>
      </c>
    </row>
    <row r="39" spans="1:44" x14ac:dyDescent="0.2">
      <c r="A39" s="1">
        <v>36</v>
      </c>
      <c r="B39" s="3">
        <v>0</v>
      </c>
      <c r="C39" s="3">
        <v>36</v>
      </c>
      <c r="D39" s="3" t="s">
        <v>51</v>
      </c>
      <c r="E39" s="3">
        <v>1</v>
      </c>
      <c r="F39" s="3">
        <v>0.47052424999856202</v>
      </c>
      <c r="G39" s="3" t="s">
        <v>45</v>
      </c>
      <c r="H39" s="3">
        <v>0</v>
      </c>
      <c r="I39" s="3">
        <v>36</v>
      </c>
      <c r="J39" s="3">
        <v>0</v>
      </c>
      <c r="K39" s="3">
        <v>36</v>
      </c>
      <c r="L39" s="3">
        <v>0</v>
      </c>
      <c r="M39" s="3">
        <v>70.059290375000302</v>
      </c>
      <c r="N39" s="2"/>
      <c r="O39" s="2"/>
      <c r="P39" s="2"/>
      <c r="Q39" s="2"/>
      <c r="R39" s="2"/>
      <c r="S39" s="2"/>
      <c r="T39" s="2"/>
      <c r="U39" s="2"/>
      <c r="V39" s="2"/>
      <c r="W39" s="3">
        <v>70.051212792000996</v>
      </c>
      <c r="X39" s="3">
        <v>70.059290375000302</v>
      </c>
      <c r="Y39" s="3">
        <v>71.042567374999606</v>
      </c>
      <c r="Z39" s="3">
        <v>71.050969042000403</v>
      </c>
      <c r="AA39" s="3">
        <v>71.517953292000996</v>
      </c>
      <c r="AB39" s="3" t="s">
        <v>51</v>
      </c>
      <c r="AC39" s="3">
        <v>1</v>
      </c>
      <c r="AD39" s="3">
        <v>0.47052424999856202</v>
      </c>
      <c r="AE39" s="3" t="s">
        <v>45</v>
      </c>
      <c r="AF39" s="3">
        <v>0</v>
      </c>
      <c r="AG39" s="2"/>
      <c r="AH39" s="2"/>
      <c r="AI39" s="2"/>
      <c r="AJ39" s="2"/>
      <c r="AK39" s="3" t="s">
        <v>46</v>
      </c>
      <c r="AL39" s="3">
        <v>1</v>
      </c>
      <c r="AM39" s="3" t="s">
        <v>47</v>
      </c>
      <c r="AN39" s="3" t="s">
        <v>48</v>
      </c>
      <c r="AO39" s="2"/>
      <c r="AP39" s="3" t="s">
        <v>49</v>
      </c>
      <c r="AQ39" s="3">
        <v>121.07789498818499</v>
      </c>
      <c r="AR39" s="3" t="s">
        <v>50</v>
      </c>
    </row>
    <row r="40" spans="1:44" x14ac:dyDescent="0.2">
      <c r="A40" s="1">
        <v>37</v>
      </c>
      <c r="B40" s="3">
        <v>0</v>
      </c>
      <c r="C40" s="3">
        <v>37</v>
      </c>
      <c r="D40" s="3" t="s">
        <v>51</v>
      </c>
      <c r="E40" s="3">
        <v>1</v>
      </c>
      <c r="F40" s="3">
        <v>0.43645275000017097</v>
      </c>
      <c r="G40" s="3" t="s">
        <v>45</v>
      </c>
      <c r="H40" s="3">
        <v>0</v>
      </c>
      <c r="I40" s="3">
        <v>37</v>
      </c>
      <c r="J40" s="3">
        <v>0</v>
      </c>
      <c r="K40" s="3">
        <v>37</v>
      </c>
      <c r="L40" s="3">
        <v>0</v>
      </c>
      <c r="M40" s="3">
        <v>71.525662874999398</v>
      </c>
      <c r="N40" s="2"/>
      <c r="O40" s="2"/>
      <c r="P40" s="2"/>
      <c r="Q40" s="2"/>
      <c r="R40" s="2"/>
      <c r="S40" s="2"/>
      <c r="T40" s="2"/>
      <c r="U40" s="2"/>
      <c r="V40" s="2"/>
      <c r="W40" s="3">
        <v>71.518023208002006</v>
      </c>
      <c r="X40" s="3">
        <v>71.525662874999398</v>
      </c>
      <c r="Y40" s="3">
        <v>72.508587083000805</v>
      </c>
      <c r="Z40" s="3">
        <v>72.516933541999606</v>
      </c>
      <c r="AA40" s="3">
        <v>72.950780582999897</v>
      </c>
      <c r="AB40" s="3" t="s">
        <v>51</v>
      </c>
      <c r="AC40" s="3">
        <v>1</v>
      </c>
      <c r="AD40" s="3">
        <v>0.43645275000017097</v>
      </c>
      <c r="AE40" s="3" t="s">
        <v>45</v>
      </c>
      <c r="AF40" s="3">
        <v>0</v>
      </c>
      <c r="AG40" s="2"/>
      <c r="AH40" s="2"/>
      <c r="AI40" s="2"/>
      <c r="AJ40" s="2"/>
      <c r="AK40" s="3" t="s">
        <v>46</v>
      </c>
      <c r="AL40" s="3">
        <v>1</v>
      </c>
      <c r="AM40" s="3" t="s">
        <v>47</v>
      </c>
      <c r="AN40" s="3" t="s">
        <v>48</v>
      </c>
      <c r="AO40" s="2"/>
      <c r="AP40" s="3" t="s">
        <v>49</v>
      </c>
      <c r="AQ40" s="3">
        <v>121.07789498818499</v>
      </c>
      <c r="AR40" s="3" t="s">
        <v>50</v>
      </c>
    </row>
    <row r="41" spans="1:44" x14ac:dyDescent="0.2">
      <c r="A41" s="1">
        <v>38</v>
      </c>
      <c r="B41" s="3">
        <v>0</v>
      </c>
      <c r="C41" s="3">
        <v>38</v>
      </c>
      <c r="D41" s="3" t="s">
        <v>52</v>
      </c>
      <c r="E41" s="3">
        <v>1</v>
      </c>
      <c r="F41" s="3">
        <v>0.641519124998013</v>
      </c>
      <c r="G41" s="3" t="s">
        <v>45</v>
      </c>
      <c r="H41" s="3">
        <v>3</v>
      </c>
      <c r="I41" s="3">
        <v>38</v>
      </c>
      <c r="J41" s="3">
        <v>0</v>
      </c>
      <c r="K41" s="3">
        <v>38</v>
      </c>
      <c r="L41" s="3">
        <v>0</v>
      </c>
      <c r="M41" s="3">
        <v>72.958923707999901</v>
      </c>
      <c r="N41" s="2"/>
      <c r="O41" s="2"/>
      <c r="P41" s="2"/>
      <c r="Q41" s="2"/>
      <c r="R41" s="2"/>
      <c r="S41" s="2"/>
      <c r="T41" s="2"/>
      <c r="U41" s="2"/>
      <c r="V41" s="2"/>
      <c r="W41" s="3">
        <v>72.950853957998305</v>
      </c>
      <c r="X41" s="3">
        <v>72.958923707999901</v>
      </c>
      <c r="Y41" s="3">
        <v>73.942574542001196</v>
      </c>
      <c r="Z41" s="3">
        <v>73.950942957999402</v>
      </c>
      <c r="AA41" s="3">
        <v>74.5844514170021</v>
      </c>
      <c r="AB41" s="3" t="s">
        <v>52</v>
      </c>
      <c r="AC41" s="3">
        <v>1</v>
      </c>
      <c r="AD41" s="3">
        <v>0.641519124998013</v>
      </c>
      <c r="AE41" s="3" t="s">
        <v>45</v>
      </c>
      <c r="AF41" s="3">
        <v>3</v>
      </c>
      <c r="AG41" s="2"/>
      <c r="AH41" s="2"/>
      <c r="AI41" s="2"/>
      <c r="AJ41" s="2"/>
      <c r="AK41" s="3" t="s">
        <v>46</v>
      </c>
      <c r="AL41" s="3">
        <v>1</v>
      </c>
      <c r="AM41" s="3" t="s">
        <v>47</v>
      </c>
      <c r="AN41" s="3" t="s">
        <v>48</v>
      </c>
      <c r="AO41" s="2"/>
      <c r="AP41" s="3" t="s">
        <v>49</v>
      </c>
      <c r="AQ41" s="3">
        <v>121.07789498818499</v>
      </c>
      <c r="AR41" s="3" t="s">
        <v>50</v>
      </c>
    </row>
    <row r="42" spans="1:44" x14ac:dyDescent="0.2">
      <c r="A42" s="1">
        <v>39</v>
      </c>
      <c r="B42" s="3">
        <v>0</v>
      </c>
      <c r="C42" s="3">
        <v>39</v>
      </c>
      <c r="D42" s="3" t="s">
        <v>51</v>
      </c>
      <c r="E42" s="3">
        <v>1</v>
      </c>
      <c r="F42" s="3">
        <v>0.492008749999513</v>
      </c>
      <c r="G42" s="3" t="s">
        <v>45</v>
      </c>
      <c r="H42" s="3">
        <v>0</v>
      </c>
      <c r="I42" s="3">
        <v>39</v>
      </c>
      <c r="J42" s="3">
        <v>0</v>
      </c>
      <c r="K42" s="3">
        <v>39</v>
      </c>
      <c r="L42" s="3">
        <v>0</v>
      </c>
      <c r="M42" s="3">
        <v>74.592612749998807</v>
      </c>
      <c r="N42" s="2"/>
      <c r="O42" s="2"/>
      <c r="P42" s="2"/>
      <c r="Q42" s="2"/>
      <c r="R42" s="2"/>
      <c r="S42" s="2"/>
      <c r="T42" s="2"/>
      <c r="U42" s="2"/>
      <c r="V42" s="2"/>
      <c r="W42" s="3">
        <v>74.584509667001797</v>
      </c>
      <c r="X42" s="3">
        <v>74.592612749998807</v>
      </c>
      <c r="Y42" s="3">
        <v>75.575896583002802</v>
      </c>
      <c r="Z42" s="3">
        <v>75.584211125002199</v>
      </c>
      <c r="AA42" s="3">
        <v>76.076368374997401</v>
      </c>
      <c r="AB42" s="3" t="s">
        <v>51</v>
      </c>
      <c r="AC42" s="3">
        <v>1</v>
      </c>
      <c r="AD42" s="3">
        <v>0.492008749999513</v>
      </c>
      <c r="AE42" s="3" t="s">
        <v>45</v>
      </c>
      <c r="AF42" s="3">
        <v>0</v>
      </c>
      <c r="AG42" s="2"/>
      <c r="AH42" s="2"/>
      <c r="AI42" s="2"/>
      <c r="AJ42" s="2"/>
      <c r="AK42" s="3" t="s">
        <v>46</v>
      </c>
      <c r="AL42" s="3">
        <v>1</v>
      </c>
      <c r="AM42" s="3" t="s">
        <v>47</v>
      </c>
      <c r="AN42" s="3" t="s">
        <v>48</v>
      </c>
      <c r="AO42" s="2"/>
      <c r="AP42" s="3" t="s">
        <v>49</v>
      </c>
      <c r="AQ42" s="3">
        <v>121.07789498818499</v>
      </c>
      <c r="AR42" s="3" t="s">
        <v>50</v>
      </c>
    </row>
    <row r="43" spans="1:44" x14ac:dyDescent="0.2">
      <c r="A43" s="1">
        <v>40</v>
      </c>
      <c r="B43" s="3">
        <v>0</v>
      </c>
      <c r="C43" s="3">
        <v>40</v>
      </c>
      <c r="D43" s="3" t="s">
        <v>52</v>
      </c>
      <c r="E43" s="3">
        <v>1</v>
      </c>
      <c r="F43" s="3">
        <v>0.44131641700369101</v>
      </c>
      <c r="G43" s="3" t="s">
        <v>45</v>
      </c>
      <c r="H43" s="3">
        <v>-5</v>
      </c>
      <c r="I43" s="3">
        <v>40</v>
      </c>
      <c r="J43" s="3">
        <v>0</v>
      </c>
      <c r="K43" s="3">
        <v>40</v>
      </c>
      <c r="L43" s="3">
        <v>0</v>
      </c>
      <c r="M43" s="3">
        <v>76.084258832997904</v>
      </c>
      <c r="N43" s="2"/>
      <c r="O43" s="2"/>
      <c r="P43" s="2"/>
      <c r="Q43" s="2"/>
      <c r="R43" s="2"/>
      <c r="S43" s="2"/>
      <c r="T43" s="2"/>
      <c r="U43" s="2"/>
      <c r="V43" s="2"/>
      <c r="W43" s="3">
        <v>76.076439832999299</v>
      </c>
      <c r="X43" s="3">
        <v>76.084258832997904</v>
      </c>
      <c r="Y43" s="3">
        <v>77.067559082999693</v>
      </c>
      <c r="Z43" s="3">
        <v>77.075466249996694</v>
      </c>
      <c r="AA43" s="3">
        <v>77.517679832999406</v>
      </c>
      <c r="AB43" s="3" t="s">
        <v>52</v>
      </c>
      <c r="AC43" s="3">
        <v>1</v>
      </c>
      <c r="AD43" s="3">
        <v>0.44131641700369101</v>
      </c>
      <c r="AE43" s="3" t="s">
        <v>45</v>
      </c>
      <c r="AF43" s="3">
        <v>-5</v>
      </c>
      <c r="AG43" s="2"/>
      <c r="AH43" s="2"/>
      <c r="AI43" s="2"/>
      <c r="AJ43" s="2"/>
      <c r="AK43" s="3" t="s">
        <v>46</v>
      </c>
      <c r="AL43" s="3">
        <v>1</v>
      </c>
      <c r="AM43" s="3" t="s">
        <v>47</v>
      </c>
      <c r="AN43" s="3" t="s">
        <v>48</v>
      </c>
      <c r="AO43" s="2"/>
      <c r="AP43" s="3" t="s">
        <v>49</v>
      </c>
      <c r="AQ43" s="3">
        <v>121.07789498818499</v>
      </c>
      <c r="AR43" s="3" t="s">
        <v>50</v>
      </c>
    </row>
    <row r="44" spans="1:44" x14ac:dyDescent="0.2">
      <c r="A44" s="1">
        <v>41</v>
      </c>
      <c r="B44" s="3">
        <v>0</v>
      </c>
      <c r="C44" s="3">
        <v>41</v>
      </c>
      <c r="D44" s="3" t="s">
        <v>51</v>
      </c>
      <c r="E44" s="3">
        <v>0</v>
      </c>
      <c r="F44" s="3">
        <v>0.57996483299939405</v>
      </c>
      <c r="G44" s="3" t="s">
        <v>45</v>
      </c>
      <c r="H44" s="3">
        <v>-2</v>
      </c>
      <c r="I44" s="3">
        <v>41</v>
      </c>
      <c r="J44" s="3">
        <v>0</v>
      </c>
      <c r="K44" s="3">
        <v>41</v>
      </c>
      <c r="L44" s="3">
        <v>0</v>
      </c>
      <c r="M44" s="3">
        <v>77.525534583001004</v>
      </c>
      <c r="N44" s="2"/>
      <c r="O44" s="2"/>
      <c r="P44" s="2"/>
      <c r="Q44" s="2"/>
      <c r="R44" s="2"/>
      <c r="S44" s="2"/>
      <c r="T44" s="2"/>
      <c r="U44" s="2"/>
      <c r="V44" s="2"/>
      <c r="W44" s="3">
        <v>77.517747083002206</v>
      </c>
      <c r="X44" s="3">
        <v>77.525534583001004</v>
      </c>
      <c r="Y44" s="3">
        <v>78.508845167001695</v>
      </c>
      <c r="Z44" s="3">
        <v>78.517150583000301</v>
      </c>
      <c r="AA44" s="3">
        <v>79.092528708002703</v>
      </c>
      <c r="AB44" s="3" t="s">
        <v>51</v>
      </c>
      <c r="AC44" s="3">
        <v>0</v>
      </c>
      <c r="AD44" s="3">
        <v>0.57996483299939405</v>
      </c>
      <c r="AE44" s="3" t="s">
        <v>45</v>
      </c>
      <c r="AF44" s="3">
        <v>-2</v>
      </c>
      <c r="AG44" s="2"/>
      <c r="AH44" s="2"/>
      <c r="AI44" s="2"/>
      <c r="AJ44" s="2"/>
      <c r="AK44" s="3" t="s">
        <v>46</v>
      </c>
      <c r="AL44" s="3">
        <v>1</v>
      </c>
      <c r="AM44" s="3" t="s">
        <v>47</v>
      </c>
      <c r="AN44" s="3" t="s">
        <v>48</v>
      </c>
      <c r="AO44" s="2"/>
      <c r="AP44" s="3" t="s">
        <v>49</v>
      </c>
      <c r="AQ44" s="3">
        <v>121.07789498818499</v>
      </c>
      <c r="AR44" s="3" t="s">
        <v>50</v>
      </c>
    </row>
    <row r="45" spans="1:44" x14ac:dyDescent="0.2">
      <c r="A45" s="1">
        <v>42</v>
      </c>
      <c r="B45" s="3">
        <v>0</v>
      </c>
      <c r="C45" s="3">
        <v>42</v>
      </c>
      <c r="D45" s="3" t="s">
        <v>51</v>
      </c>
      <c r="E45" s="3">
        <v>1</v>
      </c>
      <c r="F45" s="3">
        <v>0.49305645799904602</v>
      </c>
      <c r="G45" s="3" t="s">
        <v>45</v>
      </c>
      <c r="H45" s="3">
        <v>0</v>
      </c>
      <c r="I45" s="3">
        <v>42</v>
      </c>
      <c r="J45" s="3">
        <v>0</v>
      </c>
      <c r="K45" s="3">
        <v>42</v>
      </c>
      <c r="L45" s="3">
        <v>0</v>
      </c>
      <c r="M45" s="3">
        <v>79.100436250002502</v>
      </c>
      <c r="N45" s="2"/>
      <c r="O45" s="2"/>
      <c r="P45" s="2"/>
      <c r="Q45" s="2"/>
      <c r="R45" s="2"/>
      <c r="S45" s="2"/>
      <c r="T45" s="2"/>
      <c r="U45" s="2"/>
      <c r="V45" s="2"/>
      <c r="W45" s="3">
        <v>79.092592250002795</v>
      </c>
      <c r="X45" s="3">
        <v>79.100436250002502</v>
      </c>
      <c r="Y45" s="3">
        <v>80.083678957998899</v>
      </c>
      <c r="Z45" s="3">
        <v>80.0921522919962</v>
      </c>
      <c r="AA45" s="3">
        <v>80.584383499997799</v>
      </c>
      <c r="AB45" s="3" t="s">
        <v>51</v>
      </c>
      <c r="AC45" s="3">
        <v>1</v>
      </c>
      <c r="AD45" s="3">
        <v>0.49305645799904602</v>
      </c>
      <c r="AE45" s="3" t="s">
        <v>45</v>
      </c>
      <c r="AF45" s="3">
        <v>0</v>
      </c>
      <c r="AG45" s="2"/>
      <c r="AH45" s="2"/>
      <c r="AI45" s="2"/>
      <c r="AJ45" s="2"/>
      <c r="AK45" s="3" t="s">
        <v>46</v>
      </c>
      <c r="AL45" s="3">
        <v>1</v>
      </c>
      <c r="AM45" s="3" t="s">
        <v>47</v>
      </c>
      <c r="AN45" s="3" t="s">
        <v>48</v>
      </c>
      <c r="AO45" s="2"/>
      <c r="AP45" s="3" t="s">
        <v>49</v>
      </c>
      <c r="AQ45" s="3">
        <v>121.07789498818499</v>
      </c>
      <c r="AR45" s="3" t="s">
        <v>50</v>
      </c>
    </row>
    <row r="46" spans="1:44" x14ac:dyDescent="0.2">
      <c r="A46" s="1">
        <v>43</v>
      </c>
      <c r="B46" s="3">
        <v>0</v>
      </c>
      <c r="C46" s="3">
        <v>43</v>
      </c>
      <c r="D46" s="3" t="s">
        <v>51</v>
      </c>
      <c r="E46" s="3">
        <v>1</v>
      </c>
      <c r="F46" s="3">
        <v>0.52837941700272495</v>
      </c>
      <c r="G46" s="3" t="s">
        <v>45</v>
      </c>
      <c r="H46" s="3">
        <v>0</v>
      </c>
      <c r="I46" s="3">
        <v>43</v>
      </c>
      <c r="J46" s="3">
        <v>0</v>
      </c>
      <c r="K46" s="3">
        <v>43</v>
      </c>
      <c r="L46" s="3">
        <v>0</v>
      </c>
      <c r="M46" s="3">
        <v>80.592425916998806</v>
      </c>
      <c r="N46" s="2"/>
      <c r="O46" s="2"/>
      <c r="P46" s="2"/>
      <c r="Q46" s="2"/>
      <c r="R46" s="2"/>
      <c r="S46" s="2"/>
      <c r="T46" s="2"/>
      <c r="U46" s="2"/>
      <c r="V46" s="2"/>
      <c r="W46" s="3">
        <v>80.584442375002297</v>
      </c>
      <c r="X46" s="3">
        <v>80.592425916998806</v>
      </c>
      <c r="Y46" s="3">
        <v>81.575310125001096</v>
      </c>
      <c r="Z46" s="3">
        <v>81.583490124998207</v>
      </c>
      <c r="AA46" s="3">
        <v>82.109329999999304</v>
      </c>
      <c r="AB46" s="3" t="s">
        <v>51</v>
      </c>
      <c r="AC46" s="3">
        <v>1</v>
      </c>
      <c r="AD46" s="3">
        <v>0.52837941700272495</v>
      </c>
      <c r="AE46" s="3" t="s">
        <v>45</v>
      </c>
      <c r="AF46" s="3">
        <v>0</v>
      </c>
      <c r="AG46" s="2"/>
      <c r="AH46" s="2"/>
      <c r="AI46" s="2"/>
      <c r="AJ46" s="2"/>
      <c r="AK46" s="3" t="s">
        <v>46</v>
      </c>
      <c r="AL46" s="3">
        <v>1</v>
      </c>
      <c r="AM46" s="3" t="s">
        <v>47</v>
      </c>
      <c r="AN46" s="3" t="s">
        <v>48</v>
      </c>
      <c r="AO46" s="2"/>
      <c r="AP46" s="3" t="s">
        <v>49</v>
      </c>
      <c r="AQ46" s="3">
        <v>121.07789498818499</v>
      </c>
      <c r="AR46" s="3" t="s">
        <v>50</v>
      </c>
    </row>
    <row r="47" spans="1:44" x14ac:dyDescent="0.2">
      <c r="A47" s="1">
        <v>44</v>
      </c>
      <c r="B47" s="3">
        <v>0</v>
      </c>
      <c r="C47" s="3">
        <v>44</v>
      </c>
      <c r="D47" s="3" t="s">
        <v>52</v>
      </c>
      <c r="E47" s="3">
        <v>1</v>
      </c>
      <c r="F47" s="3">
        <v>0.59387316599895701</v>
      </c>
      <c r="G47" s="3" t="s">
        <v>45</v>
      </c>
      <c r="H47" s="3">
        <v>-3</v>
      </c>
      <c r="I47" s="3">
        <v>44</v>
      </c>
      <c r="J47" s="3">
        <v>0</v>
      </c>
      <c r="K47" s="3">
        <v>44</v>
      </c>
      <c r="L47" s="3">
        <v>0</v>
      </c>
      <c r="M47" s="3">
        <v>82.117506666996604</v>
      </c>
      <c r="N47" s="2"/>
      <c r="O47" s="2"/>
      <c r="P47" s="2"/>
      <c r="Q47" s="2"/>
      <c r="R47" s="2"/>
      <c r="S47" s="2"/>
      <c r="T47" s="2"/>
      <c r="U47" s="2"/>
      <c r="V47" s="2"/>
      <c r="W47" s="3">
        <v>82.109398291999199</v>
      </c>
      <c r="X47" s="3">
        <v>82.117506666996604</v>
      </c>
      <c r="Y47" s="3">
        <v>83.100741666996299</v>
      </c>
      <c r="Z47" s="3">
        <v>83.109135999999097</v>
      </c>
      <c r="AA47" s="3">
        <v>83.701018207997606</v>
      </c>
      <c r="AB47" s="3" t="s">
        <v>52</v>
      </c>
      <c r="AC47" s="3">
        <v>1</v>
      </c>
      <c r="AD47" s="3">
        <v>0.59387316599895701</v>
      </c>
      <c r="AE47" s="3" t="s">
        <v>45</v>
      </c>
      <c r="AF47" s="3">
        <v>-3</v>
      </c>
      <c r="AG47" s="2"/>
      <c r="AH47" s="2"/>
      <c r="AI47" s="2"/>
      <c r="AJ47" s="2"/>
      <c r="AK47" s="3" t="s">
        <v>46</v>
      </c>
      <c r="AL47" s="3">
        <v>1</v>
      </c>
      <c r="AM47" s="3" t="s">
        <v>47</v>
      </c>
      <c r="AN47" s="3" t="s">
        <v>48</v>
      </c>
      <c r="AO47" s="2"/>
      <c r="AP47" s="3" t="s">
        <v>49</v>
      </c>
      <c r="AQ47" s="3">
        <v>121.07789498818499</v>
      </c>
      <c r="AR47" s="3" t="s">
        <v>50</v>
      </c>
    </row>
    <row r="48" spans="1:44" x14ac:dyDescent="0.2">
      <c r="A48" s="1">
        <v>45</v>
      </c>
      <c r="B48" s="3">
        <v>0</v>
      </c>
      <c r="C48" s="3">
        <v>45</v>
      </c>
      <c r="D48" s="3" t="s">
        <v>52</v>
      </c>
      <c r="E48" s="3">
        <v>1</v>
      </c>
      <c r="F48" s="3">
        <v>0.83809833400300704</v>
      </c>
      <c r="G48" s="3" t="s">
        <v>45</v>
      </c>
      <c r="H48" s="3">
        <v>4</v>
      </c>
      <c r="I48" s="3">
        <v>45</v>
      </c>
      <c r="J48" s="3">
        <v>0</v>
      </c>
      <c r="K48" s="3">
        <v>45</v>
      </c>
      <c r="L48" s="3">
        <v>0</v>
      </c>
      <c r="M48" s="3">
        <v>83.708575042001002</v>
      </c>
      <c r="N48" s="2"/>
      <c r="O48" s="2"/>
      <c r="P48" s="2"/>
      <c r="Q48" s="2"/>
      <c r="R48" s="2"/>
      <c r="S48" s="2"/>
      <c r="T48" s="2"/>
      <c r="U48" s="2"/>
      <c r="V48" s="2"/>
      <c r="W48" s="3">
        <v>83.701085792003099</v>
      </c>
      <c r="X48" s="3">
        <v>83.708575042001002</v>
      </c>
      <c r="Y48" s="3">
        <v>84.692468250003003</v>
      </c>
      <c r="Z48" s="3">
        <v>84.700683458002501</v>
      </c>
      <c r="AA48" s="3">
        <v>85.534346708002005</v>
      </c>
      <c r="AB48" s="3" t="s">
        <v>52</v>
      </c>
      <c r="AC48" s="3">
        <v>1</v>
      </c>
      <c r="AD48" s="3">
        <v>0.83809833400300704</v>
      </c>
      <c r="AE48" s="3" t="s">
        <v>45</v>
      </c>
      <c r="AF48" s="3">
        <v>4</v>
      </c>
      <c r="AG48" s="2"/>
      <c r="AH48" s="2"/>
      <c r="AI48" s="2"/>
      <c r="AJ48" s="2"/>
      <c r="AK48" s="3" t="s">
        <v>46</v>
      </c>
      <c r="AL48" s="3">
        <v>1</v>
      </c>
      <c r="AM48" s="3" t="s">
        <v>47</v>
      </c>
      <c r="AN48" s="3" t="s">
        <v>48</v>
      </c>
      <c r="AO48" s="2"/>
      <c r="AP48" s="3" t="s">
        <v>49</v>
      </c>
      <c r="AQ48" s="3">
        <v>121.07789498818499</v>
      </c>
      <c r="AR48" s="3" t="s">
        <v>50</v>
      </c>
    </row>
    <row r="49" spans="1:44" x14ac:dyDescent="0.2">
      <c r="A49" s="1">
        <v>46</v>
      </c>
      <c r="B49" s="3">
        <v>0</v>
      </c>
      <c r="C49" s="3">
        <v>46</v>
      </c>
      <c r="D49" s="3" t="s">
        <v>51</v>
      </c>
      <c r="E49" s="3">
        <v>1</v>
      </c>
      <c r="F49" s="3">
        <v>0.55708216600032801</v>
      </c>
      <c r="G49" s="3" t="s">
        <v>45</v>
      </c>
      <c r="H49" s="3">
        <v>0</v>
      </c>
      <c r="I49" s="3">
        <v>46</v>
      </c>
      <c r="J49" s="3">
        <v>0</v>
      </c>
      <c r="K49" s="3">
        <v>46</v>
      </c>
      <c r="L49" s="3">
        <v>0</v>
      </c>
      <c r="M49" s="3">
        <v>85.541846125001001</v>
      </c>
      <c r="N49" s="2"/>
      <c r="O49" s="2"/>
      <c r="P49" s="2"/>
      <c r="Q49" s="2"/>
      <c r="R49" s="2"/>
      <c r="S49" s="2"/>
      <c r="T49" s="2"/>
      <c r="U49" s="2"/>
      <c r="V49" s="2"/>
      <c r="W49" s="3">
        <v>85.5344043329969</v>
      </c>
      <c r="X49" s="3">
        <v>85.541846125001001</v>
      </c>
      <c r="Y49" s="3">
        <v>86.525644458000897</v>
      </c>
      <c r="Z49" s="3">
        <v>86.534076500000097</v>
      </c>
      <c r="AA49" s="3">
        <v>87.084217625000804</v>
      </c>
      <c r="AB49" s="3" t="s">
        <v>51</v>
      </c>
      <c r="AC49" s="3">
        <v>1</v>
      </c>
      <c r="AD49" s="3">
        <v>0.55708216600032801</v>
      </c>
      <c r="AE49" s="3" t="s">
        <v>45</v>
      </c>
      <c r="AF49" s="3">
        <v>0</v>
      </c>
      <c r="AG49" s="2"/>
      <c r="AH49" s="2"/>
      <c r="AI49" s="2"/>
      <c r="AJ49" s="2"/>
      <c r="AK49" s="3" t="s">
        <v>46</v>
      </c>
      <c r="AL49" s="3">
        <v>1</v>
      </c>
      <c r="AM49" s="3" t="s">
        <v>47</v>
      </c>
      <c r="AN49" s="3" t="s">
        <v>48</v>
      </c>
      <c r="AO49" s="2"/>
      <c r="AP49" s="3" t="s">
        <v>49</v>
      </c>
      <c r="AQ49" s="3">
        <v>121.07789498818499</v>
      </c>
      <c r="AR49" s="3" t="s">
        <v>50</v>
      </c>
    </row>
    <row r="50" spans="1:44" x14ac:dyDescent="0.2">
      <c r="A50" s="1">
        <v>47</v>
      </c>
      <c r="B50" s="3">
        <v>0</v>
      </c>
      <c r="C50" s="3">
        <v>47</v>
      </c>
      <c r="D50" s="3" t="s">
        <v>51</v>
      </c>
      <c r="E50" s="3">
        <v>1</v>
      </c>
      <c r="F50" s="3">
        <v>0.44695529200544099</v>
      </c>
      <c r="G50" s="3" t="s">
        <v>45</v>
      </c>
      <c r="H50" s="3">
        <v>0</v>
      </c>
      <c r="I50" s="3">
        <v>47</v>
      </c>
      <c r="J50" s="3">
        <v>0</v>
      </c>
      <c r="K50" s="3">
        <v>47</v>
      </c>
      <c r="L50" s="3">
        <v>0</v>
      </c>
      <c r="M50" s="3">
        <v>87.092314166999103</v>
      </c>
      <c r="N50" s="2"/>
      <c r="O50" s="2"/>
      <c r="P50" s="2"/>
      <c r="Q50" s="2"/>
      <c r="R50" s="2"/>
      <c r="S50" s="2"/>
      <c r="T50" s="2"/>
      <c r="U50" s="2"/>
      <c r="V50" s="2"/>
      <c r="W50" s="3">
        <v>87.084277082998597</v>
      </c>
      <c r="X50" s="3">
        <v>87.092314166999103</v>
      </c>
      <c r="Y50" s="3">
        <v>88.075500749997502</v>
      </c>
      <c r="Z50" s="3">
        <v>88.083656000002506</v>
      </c>
      <c r="AA50" s="3">
        <v>88.525786666999906</v>
      </c>
      <c r="AB50" s="3" t="s">
        <v>51</v>
      </c>
      <c r="AC50" s="3">
        <v>1</v>
      </c>
      <c r="AD50" s="3">
        <v>0.44695529200544099</v>
      </c>
      <c r="AE50" s="3" t="s">
        <v>45</v>
      </c>
      <c r="AF50" s="3">
        <v>0</v>
      </c>
      <c r="AG50" s="2"/>
      <c r="AH50" s="2"/>
      <c r="AI50" s="2"/>
      <c r="AJ50" s="2"/>
      <c r="AK50" s="3" t="s">
        <v>46</v>
      </c>
      <c r="AL50" s="3">
        <v>1</v>
      </c>
      <c r="AM50" s="3" t="s">
        <v>47</v>
      </c>
      <c r="AN50" s="3" t="s">
        <v>48</v>
      </c>
      <c r="AO50" s="2"/>
      <c r="AP50" s="3" t="s">
        <v>49</v>
      </c>
      <c r="AQ50" s="3">
        <v>121.07789498818499</v>
      </c>
      <c r="AR50" s="3" t="s">
        <v>50</v>
      </c>
    </row>
    <row r="51" spans="1:44" x14ac:dyDescent="0.2">
      <c r="A51" s="1">
        <v>48</v>
      </c>
      <c r="B51" s="3">
        <v>0</v>
      </c>
      <c r="C51" s="3">
        <v>48</v>
      </c>
      <c r="D51" s="3" t="s">
        <v>51</v>
      </c>
      <c r="E51" s="3">
        <v>1</v>
      </c>
      <c r="F51" s="3">
        <v>0.38217066600191202</v>
      </c>
      <c r="G51" s="3" t="s">
        <v>45</v>
      </c>
      <c r="H51" s="3">
        <v>0</v>
      </c>
      <c r="I51" s="3">
        <v>48</v>
      </c>
      <c r="J51" s="3">
        <v>0</v>
      </c>
      <c r="K51" s="3">
        <v>48</v>
      </c>
      <c r="L51" s="3">
        <v>0</v>
      </c>
      <c r="M51" s="3">
        <v>88.533565042001996</v>
      </c>
      <c r="N51" s="2"/>
      <c r="O51" s="2"/>
      <c r="P51" s="2"/>
      <c r="Q51" s="2"/>
      <c r="R51" s="2"/>
      <c r="S51" s="2"/>
      <c r="T51" s="2"/>
      <c r="U51" s="2"/>
      <c r="V51" s="2"/>
      <c r="W51" s="3">
        <v>88.525851541999202</v>
      </c>
      <c r="X51" s="3">
        <v>88.533565042001996</v>
      </c>
      <c r="Y51" s="3">
        <v>89.5173391670032</v>
      </c>
      <c r="Z51" s="3">
        <v>89.525728916996698</v>
      </c>
      <c r="AA51" s="3">
        <v>89.900645041998402</v>
      </c>
      <c r="AB51" s="3" t="s">
        <v>51</v>
      </c>
      <c r="AC51" s="3">
        <v>1</v>
      </c>
      <c r="AD51" s="3">
        <v>0.38217066600191202</v>
      </c>
      <c r="AE51" s="3" t="s">
        <v>45</v>
      </c>
      <c r="AF51" s="3">
        <v>0</v>
      </c>
      <c r="AG51" s="2"/>
      <c r="AH51" s="2"/>
      <c r="AI51" s="2"/>
      <c r="AJ51" s="2"/>
      <c r="AK51" s="3" t="s">
        <v>46</v>
      </c>
      <c r="AL51" s="3">
        <v>1</v>
      </c>
      <c r="AM51" s="3" t="s">
        <v>47</v>
      </c>
      <c r="AN51" s="3" t="s">
        <v>48</v>
      </c>
      <c r="AO51" s="2"/>
      <c r="AP51" s="3" t="s">
        <v>49</v>
      </c>
      <c r="AQ51" s="3">
        <v>121.07789498818499</v>
      </c>
      <c r="AR51" s="3" t="s">
        <v>50</v>
      </c>
    </row>
    <row r="52" spans="1:44" x14ac:dyDescent="0.2">
      <c r="A52" s="1">
        <v>49</v>
      </c>
      <c r="B52" s="3">
        <v>0</v>
      </c>
      <c r="C52" s="3">
        <v>49</v>
      </c>
      <c r="D52" s="3" t="s">
        <v>52</v>
      </c>
      <c r="E52" s="3">
        <v>1</v>
      </c>
      <c r="F52" s="3">
        <v>0.49906645900045998</v>
      </c>
      <c r="G52" s="3" t="s">
        <v>45</v>
      </c>
      <c r="H52" s="3">
        <v>-3</v>
      </c>
      <c r="I52" s="3">
        <v>49</v>
      </c>
      <c r="J52" s="3">
        <v>0</v>
      </c>
      <c r="K52" s="3">
        <v>49</v>
      </c>
      <c r="L52" s="3">
        <v>0</v>
      </c>
      <c r="M52" s="3">
        <v>89.908687082999705</v>
      </c>
      <c r="N52" s="2"/>
      <c r="O52" s="2"/>
      <c r="P52" s="2"/>
      <c r="Q52" s="2"/>
      <c r="R52" s="2"/>
      <c r="S52" s="2"/>
      <c r="T52" s="2"/>
      <c r="U52" s="2"/>
      <c r="V52" s="2"/>
      <c r="W52" s="3">
        <v>89.900715292002104</v>
      </c>
      <c r="X52" s="3">
        <v>89.908687082999705</v>
      </c>
      <c r="Y52" s="3">
        <v>90.8923071669997</v>
      </c>
      <c r="Z52" s="3">
        <v>90.900673457996206</v>
      </c>
      <c r="AA52" s="3">
        <v>91.392618749996501</v>
      </c>
      <c r="AB52" s="3" t="s">
        <v>52</v>
      </c>
      <c r="AC52" s="3">
        <v>1</v>
      </c>
      <c r="AD52" s="3">
        <v>0.49906645900045998</v>
      </c>
      <c r="AE52" s="3" t="s">
        <v>45</v>
      </c>
      <c r="AF52" s="3">
        <v>-3</v>
      </c>
      <c r="AG52" s="2"/>
      <c r="AH52" s="2"/>
      <c r="AI52" s="2"/>
      <c r="AJ52" s="2"/>
      <c r="AK52" s="3" t="s">
        <v>46</v>
      </c>
      <c r="AL52" s="3">
        <v>1</v>
      </c>
      <c r="AM52" s="3" t="s">
        <v>47</v>
      </c>
      <c r="AN52" s="3" t="s">
        <v>48</v>
      </c>
      <c r="AO52" s="2"/>
      <c r="AP52" s="3" t="s">
        <v>49</v>
      </c>
      <c r="AQ52" s="3">
        <v>121.07789498818499</v>
      </c>
      <c r="AR52" s="3" t="s">
        <v>50</v>
      </c>
    </row>
    <row r="53" spans="1:44" x14ac:dyDescent="0.2">
      <c r="A53" s="1">
        <v>50</v>
      </c>
      <c r="B53" s="3">
        <v>0</v>
      </c>
      <c r="C53" s="3">
        <v>50</v>
      </c>
      <c r="D53" s="3" t="s">
        <v>51</v>
      </c>
      <c r="E53" s="3">
        <v>1</v>
      </c>
      <c r="F53" s="3">
        <v>0.44271925000066398</v>
      </c>
      <c r="G53" s="3" t="s">
        <v>45</v>
      </c>
      <c r="H53" s="3">
        <v>0</v>
      </c>
      <c r="I53" s="3">
        <v>50</v>
      </c>
      <c r="J53" s="3">
        <v>0</v>
      </c>
      <c r="K53" s="3">
        <v>50</v>
      </c>
      <c r="L53" s="3">
        <v>0</v>
      </c>
      <c r="M53" s="3">
        <v>91.400608417003198</v>
      </c>
      <c r="N53" s="2"/>
      <c r="O53" s="2"/>
      <c r="P53" s="2"/>
      <c r="Q53" s="2"/>
      <c r="R53" s="2"/>
      <c r="S53" s="2"/>
      <c r="T53" s="2"/>
      <c r="U53" s="2"/>
      <c r="V53" s="2"/>
      <c r="W53" s="3">
        <v>91.392678582997206</v>
      </c>
      <c r="X53" s="3">
        <v>91.400608417003198</v>
      </c>
      <c r="Y53" s="3">
        <v>92.383576667001805</v>
      </c>
      <c r="Z53" s="3">
        <v>92.392018042002803</v>
      </c>
      <c r="AA53" s="3">
        <v>92.8335414999965</v>
      </c>
      <c r="AB53" s="3" t="s">
        <v>51</v>
      </c>
      <c r="AC53" s="3">
        <v>1</v>
      </c>
      <c r="AD53" s="3">
        <v>0.44271925000066398</v>
      </c>
      <c r="AE53" s="3" t="s">
        <v>45</v>
      </c>
      <c r="AF53" s="3">
        <v>0</v>
      </c>
      <c r="AG53" s="2"/>
      <c r="AH53" s="2"/>
      <c r="AI53" s="2"/>
      <c r="AJ53" s="2"/>
      <c r="AK53" s="3" t="s">
        <v>46</v>
      </c>
      <c r="AL53" s="3">
        <v>1</v>
      </c>
      <c r="AM53" s="3" t="s">
        <v>47</v>
      </c>
      <c r="AN53" s="3" t="s">
        <v>48</v>
      </c>
      <c r="AO53" s="2"/>
      <c r="AP53" s="3" t="s">
        <v>49</v>
      </c>
      <c r="AQ53" s="3">
        <v>121.07789498818499</v>
      </c>
      <c r="AR53" s="3" t="s">
        <v>50</v>
      </c>
    </row>
    <row r="54" spans="1:44" x14ac:dyDescent="0.2">
      <c r="A54" s="1">
        <v>51</v>
      </c>
      <c r="B54" s="3">
        <v>0</v>
      </c>
      <c r="C54" s="3">
        <v>51</v>
      </c>
      <c r="D54" s="3" t="s">
        <v>51</v>
      </c>
      <c r="E54" s="3">
        <v>1</v>
      </c>
      <c r="F54" s="3">
        <v>0.42658454200136497</v>
      </c>
      <c r="G54" s="3" t="s">
        <v>45</v>
      </c>
      <c r="H54" s="3">
        <v>0</v>
      </c>
      <c r="I54" s="3">
        <v>51</v>
      </c>
      <c r="J54" s="3">
        <v>0</v>
      </c>
      <c r="K54" s="3">
        <v>51</v>
      </c>
      <c r="L54" s="3">
        <v>0</v>
      </c>
      <c r="M54" s="3">
        <v>92.841844208000097</v>
      </c>
      <c r="N54" s="2"/>
      <c r="O54" s="2"/>
      <c r="P54" s="2"/>
      <c r="Q54" s="2"/>
      <c r="R54" s="2"/>
      <c r="S54" s="2"/>
      <c r="T54" s="2"/>
      <c r="U54" s="2"/>
      <c r="V54" s="2"/>
      <c r="W54" s="3">
        <v>92.833603416998798</v>
      </c>
      <c r="X54" s="3">
        <v>92.841844208000097</v>
      </c>
      <c r="Y54" s="3">
        <v>93.825635041997899</v>
      </c>
      <c r="Z54" s="3">
        <v>93.833882375001906</v>
      </c>
      <c r="AA54" s="3">
        <v>94.259168666998505</v>
      </c>
      <c r="AB54" s="3" t="s">
        <v>51</v>
      </c>
      <c r="AC54" s="3">
        <v>1</v>
      </c>
      <c r="AD54" s="3">
        <v>0.42658454200136497</v>
      </c>
      <c r="AE54" s="3" t="s">
        <v>45</v>
      </c>
      <c r="AF54" s="3">
        <v>0</v>
      </c>
      <c r="AG54" s="2"/>
      <c r="AH54" s="2"/>
      <c r="AI54" s="2"/>
      <c r="AJ54" s="2"/>
      <c r="AK54" s="3" t="s">
        <v>46</v>
      </c>
      <c r="AL54" s="3">
        <v>1</v>
      </c>
      <c r="AM54" s="3" t="s">
        <v>47</v>
      </c>
      <c r="AN54" s="3" t="s">
        <v>48</v>
      </c>
      <c r="AO54" s="2"/>
      <c r="AP54" s="3" t="s">
        <v>49</v>
      </c>
      <c r="AQ54" s="3">
        <v>121.07789498818499</v>
      </c>
      <c r="AR54" s="3" t="s">
        <v>50</v>
      </c>
    </row>
    <row r="55" spans="1:44" x14ac:dyDescent="0.2">
      <c r="A55" s="1">
        <v>52</v>
      </c>
      <c r="B55" s="3">
        <v>0</v>
      </c>
      <c r="C55" s="3">
        <v>52</v>
      </c>
      <c r="D55" s="3" t="s">
        <v>52</v>
      </c>
      <c r="E55" s="3">
        <v>1</v>
      </c>
      <c r="F55" s="3">
        <v>0.489594124999712</v>
      </c>
      <c r="G55" s="3" t="s">
        <v>45</v>
      </c>
      <c r="H55" s="3">
        <v>-4</v>
      </c>
      <c r="I55" s="3">
        <v>52</v>
      </c>
      <c r="J55" s="3">
        <v>0</v>
      </c>
      <c r="K55" s="3">
        <v>52</v>
      </c>
      <c r="L55" s="3">
        <v>0</v>
      </c>
      <c r="M55" s="3">
        <v>94.266957708001399</v>
      </c>
      <c r="N55" s="2"/>
      <c r="O55" s="2"/>
      <c r="P55" s="2"/>
      <c r="Q55" s="2"/>
      <c r="R55" s="2"/>
      <c r="S55" s="2"/>
      <c r="T55" s="2"/>
      <c r="U55" s="2"/>
      <c r="V55" s="2"/>
      <c r="W55" s="3">
        <v>94.259237917001897</v>
      </c>
      <c r="X55" s="3">
        <v>94.266957708001399</v>
      </c>
      <c r="Y55" s="3">
        <v>95.250579708001197</v>
      </c>
      <c r="Z55" s="3">
        <v>95.258821791998301</v>
      </c>
      <c r="AA55" s="3">
        <v>95.7423188749963</v>
      </c>
      <c r="AB55" s="3" t="s">
        <v>52</v>
      </c>
      <c r="AC55" s="3">
        <v>1</v>
      </c>
      <c r="AD55" s="3">
        <v>0.489594124999712</v>
      </c>
      <c r="AE55" s="3" t="s">
        <v>45</v>
      </c>
      <c r="AF55" s="3">
        <v>-4</v>
      </c>
      <c r="AG55" s="2"/>
      <c r="AH55" s="2"/>
      <c r="AI55" s="2"/>
      <c r="AJ55" s="2"/>
      <c r="AK55" s="3" t="s">
        <v>46</v>
      </c>
      <c r="AL55" s="3">
        <v>1</v>
      </c>
      <c r="AM55" s="3" t="s">
        <v>47</v>
      </c>
      <c r="AN55" s="3" t="s">
        <v>48</v>
      </c>
      <c r="AO55" s="2"/>
      <c r="AP55" s="3" t="s">
        <v>49</v>
      </c>
      <c r="AQ55" s="3">
        <v>121.07789498818499</v>
      </c>
      <c r="AR55" s="3" t="s">
        <v>50</v>
      </c>
    </row>
    <row r="56" spans="1:44" x14ac:dyDescent="0.2">
      <c r="A56" s="1">
        <v>53</v>
      </c>
      <c r="B56" s="3">
        <v>0</v>
      </c>
      <c r="C56" s="3">
        <v>53</v>
      </c>
      <c r="D56" s="3" t="s">
        <v>52</v>
      </c>
      <c r="E56" s="3">
        <v>1</v>
      </c>
      <c r="F56" s="3">
        <v>0.639229708001949</v>
      </c>
      <c r="G56" s="3" t="s">
        <v>45</v>
      </c>
      <c r="H56" s="3">
        <v>-3</v>
      </c>
      <c r="I56" s="3">
        <v>53</v>
      </c>
      <c r="J56" s="3">
        <v>0</v>
      </c>
      <c r="K56" s="3">
        <v>53</v>
      </c>
      <c r="L56" s="3">
        <v>0</v>
      </c>
      <c r="M56" s="3">
        <v>95.750197832996506</v>
      </c>
      <c r="N56" s="2"/>
      <c r="O56" s="2"/>
      <c r="P56" s="2"/>
      <c r="Q56" s="2"/>
      <c r="R56" s="2"/>
      <c r="S56" s="2"/>
      <c r="T56" s="2"/>
      <c r="U56" s="2"/>
      <c r="V56" s="2"/>
      <c r="W56" s="3">
        <v>95.742382750002406</v>
      </c>
      <c r="X56" s="3">
        <v>95.750197832996506</v>
      </c>
      <c r="Y56" s="3">
        <v>96.733837792002305</v>
      </c>
      <c r="Z56" s="3">
        <v>96.742223667002705</v>
      </c>
      <c r="AA56" s="3">
        <v>97.375200916998395</v>
      </c>
      <c r="AB56" s="3" t="s">
        <v>52</v>
      </c>
      <c r="AC56" s="3">
        <v>1</v>
      </c>
      <c r="AD56" s="3">
        <v>0.639229708001949</v>
      </c>
      <c r="AE56" s="3" t="s">
        <v>45</v>
      </c>
      <c r="AF56" s="3">
        <v>-3</v>
      </c>
      <c r="AG56" s="2"/>
      <c r="AH56" s="2"/>
      <c r="AI56" s="2"/>
      <c r="AJ56" s="2"/>
      <c r="AK56" s="3" t="s">
        <v>46</v>
      </c>
      <c r="AL56" s="3">
        <v>1</v>
      </c>
      <c r="AM56" s="3" t="s">
        <v>47</v>
      </c>
      <c r="AN56" s="3" t="s">
        <v>48</v>
      </c>
      <c r="AO56" s="2"/>
      <c r="AP56" s="3" t="s">
        <v>49</v>
      </c>
      <c r="AQ56" s="3">
        <v>121.07789498818499</v>
      </c>
      <c r="AR56" s="3" t="s">
        <v>50</v>
      </c>
    </row>
    <row r="57" spans="1:44" x14ac:dyDescent="0.2">
      <c r="A57" s="1">
        <v>54</v>
      </c>
      <c r="B57" s="3">
        <v>0</v>
      </c>
      <c r="C57" s="3">
        <v>54</v>
      </c>
      <c r="D57" s="3" t="s">
        <v>51</v>
      </c>
      <c r="E57" s="3">
        <v>1</v>
      </c>
      <c r="F57" s="3">
        <v>0.41601679199811797</v>
      </c>
      <c r="G57" s="3" t="s">
        <v>45</v>
      </c>
      <c r="H57" s="3">
        <v>0</v>
      </c>
      <c r="I57" s="3">
        <v>54</v>
      </c>
      <c r="J57" s="3">
        <v>0</v>
      </c>
      <c r="K57" s="3">
        <v>54</v>
      </c>
      <c r="L57" s="3">
        <v>0</v>
      </c>
      <c r="M57" s="3">
        <v>97.383272042003199</v>
      </c>
      <c r="N57" s="2"/>
      <c r="O57" s="2"/>
      <c r="P57" s="2"/>
      <c r="Q57" s="2"/>
      <c r="R57" s="2"/>
      <c r="S57" s="2"/>
      <c r="T57" s="2"/>
      <c r="U57" s="2"/>
      <c r="V57" s="2"/>
      <c r="W57" s="3">
        <v>97.375265624999898</v>
      </c>
      <c r="X57" s="3">
        <v>97.383272042003199</v>
      </c>
      <c r="Y57" s="3">
        <v>98.367188916999993</v>
      </c>
      <c r="Z57" s="3">
        <v>98.375608791997394</v>
      </c>
      <c r="AA57" s="3">
        <v>98.783699542000306</v>
      </c>
      <c r="AB57" s="3" t="s">
        <v>51</v>
      </c>
      <c r="AC57" s="3">
        <v>1</v>
      </c>
      <c r="AD57" s="3">
        <v>0.41601679199811797</v>
      </c>
      <c r="AE57" s="3" t="s">
        <v>45</v>
      </c>
      <c r="AF57" s="3">
        <v>0</v>
      </c>
      <c r="AG57" s="2"/>
      <c r="AH57" s="2"/>
      <c r="AI57" s="2"/>
      <c r="AJ57" s="2"/>
      <c r="AK57" s="3" t="s">
        <v>46</v>
      </c>
      <c r="AL57" s="3">
        <v>1</v>
      </c>
      <c r="AM57" s="3" t="s">
        <v>47</v>
      </c>
      <c r="AN57" s="3" t="s">
        <v>48</v>
      </c>
      <c r="AO57" s="2"/>
      <c r="AP57" s="3" t="s">
        <v>49</v>
      </c>
      <c r="AQ57" s="3">
        <v>121.07789498818499</v>
      </c>
      <c r="AR57" s="3" t="s">
        <v>50</v>
      </c>
    </row>
    <row r="58" spans="1:44" x14ac:dyDescent="0.2">
      <c r="A58" s="1">
        <v>55</v>
      </c>
      <c r="B58" s="3">
        <v>0</v>
      </c>
      <c r="C58" s="3">
        <v>55</v>
      </c>
      <c r="D58" s="3" t="s">
        <v>51</v>
      </c>
      <c r="E58" s="3">
        <v>1</v>
      </c>
      <c r="F58" s="3">
        <v>0.40449704200000303</v>
      </c>
      <c r="G58" s="3" t="s">
        <v>45</v>
      </c>
      <c r="H58" s="3">
        <v>0</v>
      </c>
      <c r="I58" s="3">
        <v>55</v>
      </c>
      <c r="J58" s="3">
        <v>0</v>
      </c>
      <c r="K58" s="3">
        <v>55</v>
      </c>
      <c r="L58" s="3">
        <v>0</v>
      </c>
      <c r="M58" s="3">
        <v>98.792302708003305</v>
      </c>
      <c r="N58" s="2"/>
      <c r="O58" s="2"/>
      <c r="P58" s="2"/>
      <c r="Q58" s="2"/>
      <c r="R58" s="2"/>
      <c r="S58" s="2"/>
      <c r="T58" s="2"/>
      <c r="U58" s="2"/>
      <c r="V58" s="2"/>
      <c r="W58" s="3">
        <v>98.783763291998198</v>
      </c>
      <c r="X58" s="3">
        <v>98.792302708003305</v>
      </c>
      <c r="Y58" s="3">
        <v>99.775515332999902</v>
      </c>
      <c r="Z58" s="3">
        <v>99.783779208002699</v>
      </c>
      <c r="AA58" s="3">
        <v>100.183978542002</v>
      </c>
      <c r="AB58" s="3" t="s">
        <v>51</v>
      </c>
      <c r="AC58" s="3">
        <v>1</v>
      </c>
      <c r="AD58" s="3">
        <v>0.40449704200000303</v>
      </c>
      <c r="AE58" s="3" t="s">
        <v>45</v>
      </c>
      <c r="AF58" s="3">
        <v>0</v>
      </c>
      <c r="AG58" s="2"/>
      <c r="AH58" s="2"/>
      <c r="AI58" s="2"/>
      <c r="AJ58" s="2"/>
      <c r="AK58" s="3" t="s">
        <v>46</v>
      </c>
      <c r="AL58" s="3">
        <v>1</v>
      </c>
      <c r="AM58" s="3" t="s">
        <v>47</v>
      </c>
      <c r="AN58" s="3" t="s">
        <v>48</v>
      </c>
      <c r="AO58" s="2"/>
      <c r="AP58" s="3" t="s">
        <v>49</v>
      </c>
      <c r="AQ58" s="3">
        <v>121.07789498818499</v>
      </c>
      <c r="AR58" s="3" t="s">
        <v>50</v>
      </c>
    </row>
    <row r="59" spans="1:44" x14ac:dyDescent="0.2">
      <c r="A59" s="1">
        <v>56</v>
      </c>
      <c r="B59" s="3">
        <v>0</v>
      </c>
      <c r="C59" s="3">
        <v>56</v>
      </c>
      <c r="D59" s="3" t="s">
        <v>51</v>
      </c>
      <c r="E59" s="3">
        <v>1</v>
      </c>
      <c r="F59" s="3">
        <v>0.37661454200133498</v>
      </c>
      <c r="G59" s="3" t="s">
        <v>45</v>
      </c>
      <c r="H59" s="3">
        <v>0</v>
      </c>
      <c r="I59" s="3">
        <v>56</v>
      </c>
      <c r="J59" s="3">
        <v>0</v>
      </c>
      <c r="K59" s="3">
        <v>56</v>
      </c>
      <c r="L59" s="3">
        <v>0</v>
      </c>
      <c r="M59" s="3">
        <v>100.19220983300301</v>
      </c>
      <c r="N59" s="2"/>
      <c r="O59" s="2"/>
      <c r="P59" s="2"/>
      <c r="Q59" s="2"/>
      <c r="R59" s="2"/>
      <c r="S59" s="2"/>
      <c r="T59" s="2"/>
      <c r="U59" s="2"/>
      <c r="V59" s="2"/>
      <c r="W59" s="3">
        <v>100.18404183300299</v>
      </c>
      <c r="X59" s="3">
        <v>100.19220983300301</v>
      </c>
      <c r="Y59" s="3">
        <v>101.17535212499899</v>
      </c>
      <c r="Z59" s="3">
        <v>101.183418916997</v>
      </c>
      <c r="AA59" s="3">
        <v>101.559071625001</v>
      </c>
      <c r="AB59" s="3" t="s">
        <v>51</v>
      </c>
      <c r="AC59" s="3">
        <v>1</v>
      </c>
      <c r="AD59" s="3">
        <v>0.37661454200133498</v>
      </c>
      <c r="AE59" s="3" t="s">
        <v>45</v>
      </c>
      <c r="AF59" s="3">
        <v>0</v>
      </c>
      <c r="AG59" s="2"/>
      <c r="AH59" s="2"/>
      <c r="AI59" s="2"/>
      <c r="AJ59" s="2"/>
      <c r="AK59" s="3" t="s">
        <v>46</v>
      </c>
      <c r="AL59" s="3">
        <v>1</v>
      </c>
      <c r="AM59" s="3" t="s">
        <v>47</v>
      </c>
      <c r="AN59" s="3" t="s">
        <v>48</v>
      </c>
      <c r="AO59" s="2"/>
      <c r="AP59" s="3" t="s">
        <v>49</v>
      </c>
      <c r="AQ59" s="3">
        <v>121.07789498818499</v>
      </c>
      <c r="AR59" s="3" t="s">
        <v>50</v>
      </c>
    </row>
    <row r="60" spans="1:44" x14ac:dyDescent="0.2">
      <c r="A60" s="1">
        <v>57</v>
      </c>
      <c r="B60" s="3">
        <v>0</v>
      </c>
      <c r="C60" s="3">
        <v>57</v>
      </c>
      <c r="D60" s="3" t="s">
        <v>52</v>
      </c>
      <c r="E60" s="3">
        <v>1</v>
      </c>
      <c r="F60" s="3">
        <v>0.46334116699290501</v>
      </c>
      <c r="G60" s="3" t="s">
        <v>45</v>
      </c>
      <c r="H60" s="3">
        <v>-3</v>
      </c>
      <c r="I60" s="3">
        <v>57</v>
      </c>
      <c r="J60" s="3">
        <v>0</v>
      </c>
      <c r="K60" s="3">
        <v>57</v>
      </c>
      <c r="L60" s="3">
        <v>0</v>
      </c>
      <c r="M60" s="3">
        <v>101.56711445799699</v>
      </c>
      <c r="N60" s="2"/>
      <c r="O60" s="2"/>
      <c r="P60" s="2"/>
      <c r="Q60" s="2"/>
      <c r="R60" s="2"/>
      <c r="S60" s="2"/>
      <c r="T60" s="2"/>
      <c r="U60" s="2"/>
      <c r="V60" s="2"/>
      <c r="W60" s="3">
        <v>101.559141457998</v>
      </c>
      <c r="X60" s="3">
        <v>101.56711445799699</v>
      </c>
      <c r="Y60" s="3">
        <v>102.550560541997</v>
      </c>
      <c r="Z60" s="3">
        <v>102.558402916999</v>
      </c>
      <c r="AA60" s="3">
        <v>103.01731450000101</v>
      </c>
      <c r="AB60" s="3" t="s">
        <v>52</v>
      </c>
      <c r="AC60" s="3">
        <v>1</v>
      </c>
      <c r="AD60" s="3">
        <v>0.46334116699290501</v>
      </c>
      <c r="AE60" s="3" t="s">
        <v>45</v>
      </c>
      <c r="AF60" s="3">
        <v>-3</v>
      </c>
      <c r="AG60" s="2"/>
      <c r="AH60" s="2"/>
      <c r="AI60" s="2"/>
      <c r="AJ60" s="2"/>
      <c r="AK60" s="3" t="s">
        <v>46</v>
      </c>
      <c r="AL60" s="3">
        <v>1</v>
      </c>
      <c r="AM60" s="3" t="s">
        <v>47</v>
      </c>
      <c r="AN60" s="3" t="s">
        <v>48</v>
      </c>
      <c r="AO60" s="2"/>
      <c r="AP60" s="3" t="s">
        <v>49</v>
      </c>
      <c r="AQ60" s="3">
        <v>121.07789498818499</v>
      </c>
      <c r="AR60" s="3" t="s">
        <v>50</v>
      </c>
    </row>
    <row r="61" spans="1:44" x14ac:dyDescent="0.2">
      <c r="A61" s="1">
        <v>58</v>
      </c>
      <c r="B61" s="3">
        <v>0</v>
      </c>
      <c r="C61" s="3">
        <v>58</v>
      </c>
      <c r="D61" s="3" t="s">
        <v>52</v>
      </c>
      <c r="E61" s="3">
        <v>0</v>
      </c>
      <c r="F61" s="3">
        <v>0.540127125001163</v>
      </c>
      <c r="G61" s="3" t="s">
        <v>45</v>
      </c>
      <c r="H61" s="3">
        <v>0</v>
      </c>
      <c r="I61" s="3">
        <v>58</v>
      </c>
      <c r="J61" s="3">
        <v>0</v>
      </c>
      <c r="K61" s="3">
        <v>58</v>
      </c>
      <c r="L61" s="3">
        <v>0</v>
      </c>
      <c r="M61" s="3">
        <v>103.02547995800001</v>
      </c>
      <c r="N61" s="2"/>
      <c r="O61" s="2"/>
      <c r="P61" s="2"/>
      <c r="Q61" s="2"/>
      <c r="R61" s="2"/>
      <c r="S61" s="2"/>
      <c r="T61" s="2"/>
      <c r="U61" s="2"/>
      <c r="V61" s="2"/>
      <c r="W61" s="3">
        <v>103.017371374997</v>
      </c>
      <c r="X61" s="3">
        <v>103.02547995800001</v>
      </c>
      <c r="Y61" s="3">
        <v>104.008766250001</v>
      </c>
      <c r="Z61" s="3">
        <v>104.017151583001</v>
      </c>
      <c r="AA61" s="3">
        <v>104.550566582999</v>
      </c>
      <c r="AB61" s="3" t="s">
        <v>52</v>
      </c>
      <c r="AC61" s="3">
        <v>0</v>
      </c>
      <c r="AD61" s="3">
        <v>0.540127125001163</v>
      </c>
      <c r="AE61" s="3" t="s">
        <v>45</v>
      </c>
      <c r="AF61" s="3">
        <v>0</v>
      </c>
      <c r="AG61" s="2"/>
      <c r="AH61" s="2"/>
      <c r="AI61" s="2"/>
      <c r="AJ61" s="2"/>
      <c r="AK61" s="3" t="s">
        <v>46</v>
      </c>
      <c r="AL61" s="3">
        <v>1</v>
      </c>
      <c r="AM61" s="3" t="s">
        <v>47</v>
      </c>
      <c r="AN61" s="3" t="s">
        <v>48</v>
      </c>
      <c r="AO61" s="2"/>
      <c r="AP61" s="3" t="s">
        <v>49</v>
      </c>
      <c r="AQ61" s="3">
        <v>121.07789498818499</v>
      </c>
      <c r="AR61" s="3" t="s">
        <v>50</v>
      </c>
    </row>
    <row r="62" spans="1:44" x14ac:dyDescent="0.2">
      <c r="A62" s="1">
        <v>59</v>
      </c>
      <c r="B62" s="3">
        <v>0</v>
      </c>
      <c r="C62" s="3">
        <v>59</v>
      </c>
      <c r="D62" s="3" t="s">
        <v>52</v>
      </c>
      <c r="E62" s="3">
        <v>1</v>
      </c>
      <c r="F62" s="3">
        <v>0.47514204199978899</v>
      </c>
      <c r="G62" s="3" t="s">
        <v>45</v>
      </c>
      <c r="H62" s="3">
        <v>-4</v>
      </c>
      <c r="I62" s="3">
        <v>59</v>
      </c>
      <c r="J62" s="3">
        <v>0</v>
      </c>
      <c r="K62" s="3">
        <v>59</v>
      </c>
      <c r="L62" s="3">
        <v>0</v>
      </c>
      <c r="M62" s="3">
        <v>104.558780583</v>
      </c>
      <c r="N62" s="2"/>
      <c r="O62" s="2"/>
      <c r="P62" s="2"/>
      <c r="Q62" s="2"/>
      <c r="R62" s="2"/>
      <c r="S62" s="2"/>
      <c r="T62" s="2"/>
      <c r="U62" s="2"/>
      <c r="V62" s="2"/>
      <c r="W62" s="3">
        <v>104.55063254199899</v>
      </c>
      <c r="X62" s="3">
        <v>104.558780583</v>
      </c>
      <c r="Y62" s="3">
        <v>105.541744458002</v>
      </c>
      <c r="Z62" s="3">
        <v>105.55016120799699</v>
      </c>
      <c r="AA62" s="3">
        <v>106.01727966700101</v>
      </c>
      <c r="AB62" s="3" t="s">
        <v>52</v>
      </c>
      <c r="AC62" s="3">
        <v>1</v>
      </c>
      <c r="AD62" s="3">
        <v>0.47514204199978899</v>
      </c>
      <c r="AE62" s="3" t="s">
        <v>45</v>
      </c>
      <c r="AF62" s="3">
        <v>-4</v>
      </c>
      <c r="AG62" s="2"/>
      <c r="AH62" s="2"/>
      <c r="AI62" s="2"/>
      <c r="AJ62" s="2"/>
      <c r="AK62" s="3" t="s">
        <v>46</v>
      </c>
      <c r="AL62" s="3">
        <v>1</v>
      </c>
      <c r="AM62" s="3" t="s">
        <v>47</v>
      </c>
      <c r="AN62" s="3" t="s">
        <v>48</v>
      </c>
      <c r="AO62" s="2"/>
      <c r="AP62" s="3" t="s">
        <v>49</v>
      </c>
      <c r="AQ62" s="3">
        <v>121.07789498818499</v>
      </c>
      <c r="AR62" s="3" t="s">
        <v>50</v>
      </c>
    </row>
    <row r="63" spans="1:44" x14ac:dyDescent="0.2">
      <c r="A63" s="1">
        <v>60</v>
      </c>
      <c r="B63" s="3">
        <v>0</v>
      </c>
      <c r="C63" s="3">
        <v>60</v>
      </c>
      <c r="D63" s="3" t="s">
        <v>52</v>
      </c>
      <c r="E63" s="3">
        <v>1</v>
      </c>
      <c r="F63" s="3">
        <v>0.50225437500194003</v>
      </c>
      <c r="G63" s="3" t="s">
        <v>45</v>
      </c>
      <c r="H63" s="3">
        <v>-2</v>
      </c>
      <c r="I63" s="3">
        <v>60</v>
      </c>
      <c r="J63" s="3">
        <v>0</v>
      </c>
      <c r="K63" s="3">
        <v>60</v>
      </c>
      <c r="L63" s="3">
        <v>0</v>
      </c>
      <c r="M63" s="3">
        <v>106.025401042003</v>
      </c>
      <c r="N63" s="2"/>
      <c r="O63" s="2"/>
      <c r="P63" s="2"/>
      <c r="Q63" s="2"/>
      <c r="R63" s="2"/>
      <c r="S63" s="2"/>
      <c r="T63" s="2"/>
      <c r="U63" s="2"/>
      <c r="V63" s="2"/>
      <c r="W63" s="3">
        <v>106.01734770800201</v>
      </c>
      <c r="X63" s="3">
        <v>106.025401042003</v>
      </c>
      <c r="Y63" s="3">
        <v>107.00847466699599</v>
      </c>
      <c r="Z63" s="3">
        <v>107.016820917001</v>
      </c>
      <c r="AA63" s="3">
        <v>107.51727412499901</v>
      </c>
      <c r="AB63" s="3" t="s">
        <v>52</v>
      </c>
      <c r="AC63" s="3">
        <v>1</v>
      </c>
      <c r="AD63" s="3">
        <v>0.50225437500194003</v>
      </c>
      <c r="AE63" s="3" t="s">
        <v>45</v>
      </c>
      <c r="AF63" s="3">
        <v>-2</v>
      </c>
      <c r="AG63" s="2"/>
      <c r="AH63" s="2"/>
      <c r="AI63" s="2"/>
      <c r="AJ63" s="2"/>
      <c r="AK63" s="3" t="s">
        <v>46</v>
      </c>
      <c r="AL63" s="3">
        <v>1</v>
      </c>
      <c r="AM63" s="3" t="s">
        <v>47</v>
      </c>
      <c r="AN63" s="3" t="s">
        <v>48</v>
      </c>
      <c r="AO63" s="2"/>
      <c r="AP63" s="3" t="s">
        <v>49</v>
      </c>
      <c r="AQ63" s="3">
        <v>121.07789498818499</v>
      </c>
      <c r="AR63" s="3" t="s">
        <v>50</v>
      </c>
    </row>
    <row r="64" spans="1:44" x14ac:dyDescent="0.2">
      <c r="A64" s="1">
        <v>61</v>
      </c>
      <c r="B64" s="3">
        <v>0</v>
      </c>
      <c r="C64" s="3">
        <v>61</v>
      </c>
      <c r="D64" s="3" t="s">
        <v>52</v>
      </c>
      <c r="E64" s="3">
        <v>1</v>
      </c>
      <c r="F64" s="3">
        <v>0.50715879099880101</v>
      </c>
      <c r="G64" s="3" t="s">
        <v>45</v>
      </c>
      <c r="H64" s="3">
        <v>-2</v>
      </c>
      <c r="I64" s="3">
        <v>61</v>
      </c>
      <c r="J64" s="3">
        <v>0</v>
      </c>
      <c r="K64" s="3">
        <v>61</v>
      </c>
      <c r="L64" s="3">
        <v>0</v>
      </c>
      <c r="M64" s="3">
        <v>107.525415582997</v>
      </c>
      <c r="N64" s="2"/>
      <c r="O64" s="2"/>
      <c r="P64" s="2"/>
      <c r="Q64" s="2"/>
      <c r="R64" s="2"/>
      <c r="S64" s="2"/>
      <c r="T64" s="2"/>
      <c r="U64" s="2"/>
      <c r="V64" s="2"/>
      <c r="W64" s="3">
        <v>107.517346374996</v>
      </c>
      <c r="X64" s="3">
        <v>107.525415582997</v>
      </c>
      <c r="Y64" s="3">
        <v>108.508694666998</v>
      </c>
      <c r="Z64" s="3">
        <v>108.51711379199701</v>
      </c>
      <c r="AA64" s="3">
        <v>109.017251208003</v>
      </c>
      <c r="AB64" s="3" t="s">
        <v>52</v>
      </c>
      <c r="AC64" s="3">
        <v>1</v>
      </c>
      <c r="AD64" s="3">
        <v>0.50715879099880101</v>
      </c>
      <c r="AE64" s="3" t="s">
        <v>45</v>
      </c>
      <c r="AF64" s="3">
        <v>-2</v>
      </c>
      <c r="AG64" s="2"/>
      <c r="AH64" s="2"/>
      <c r="AI64" s="2"/>
      <c r="AJ64" s="2"/>
      <c r="AK64" s="3" t="s">
        <v>46</v>
      </c>
      <c r="AL64" s="3">
        <v>1</v>
      </c>
      <c r="AM64" s="3" t="s">
        <v>47</v>
      </c>
      <c r="AN64" s="3" t="s">
        <v>48</v>
      </c>
      <c r="AO64" s="2"/>
      <c r="AP64" s="3" t="s">
        <v>49</v>
      </c>
      <c r="AQ64" s="3">
        <v>121.07789498818499</v>
      </c>
      <c r="AR64" s="3" t="s">
        <v>50</v>
      </c>
    </row>
    <row r="65" spans="1:44" x14ac:dyDescent="0.2">
      <c r="A65" s="1">
        <v>62</v>
      </c>
      <c r="B65" s="3">
        <v>0</v>
      </c>
      <c r="C65" s="3">
        <v>62</v>
      </c>
      <c r="D65" s="3" t="s">
        <v>52</v>
      </c>
      <c r="E65" s="3">
        <v>1</v>
      </c>
      <c r="F65" s="3">
        <v>0.49989645800087601</v>
      </c>
      <c r="G65" s="3" t="s">
        <v>45</v>
      </c>
      <c r="H65" s="3">
        <v>-4</v>
      </c>
      <c r="I65" s="3">
        <v>62</v>
      </c>
      <c r="J65" s="3">
        <v>0</v>
      </c>
      <c r="K65" s="3">
        <v>62</v>
      </c>
      <c r="L65" s="3">
        <v>0</v>
      </c>
      <c r="M65" s="3">
        <v>109.025430374997</v>
      </c>
      <c r="N65" s="2"/>
      <c r="O65" s="2"/>
      <c r="P65" s="2"/>
      <c r="Q65" s="2"/>
      <c r="R65" s="2"/>
      <c r="S65" s="2"/>
      <c r="T65" s="2"/>
      <c r="U65" s="2"/>
      <c r="V65" s="2"/>
      <c r="W65" s="3">
        <v>109.017318917002</v>
      </c>
      <c r="X65" s="3">
        <v>109.025430374997</v>
      </c>
      <c r="Y65" s="3">
        <v>110.00870479200201</v>
      </c>
      <c r="Z65" s="3">
        <v>110.016947917</v>
      </c>
      <c r="AA65" s="3">
        <v>110.51696445800199</v>
      </c>
      <c r="AB65" s="3" t="s">
        <v>52</v>
      </c>
      <c r="AC65" s="3">
        <v>1</v>
      </c>
      <c r="AD65" s="3">
        <v>0.49989645800087601</v>
      </c>
      <c r="AE65" s="3" t="s">
        <v>45</v>
      </c>
      <c r="AF65" s="3">
        <v>-4</v>
      </c>
      <c r="AG65" s="2"/>
      <c r="AH65" s="2"/>
      <c r="AI65" s="2"/>
      <c r="AJ65" s="2"/>
      <c r="AK65" s="3" t="s">
        <v>46</v>
      </c>
      <c r="AL65" s="3">
        <v>1</v>
      </c>
      <c r="AM65" s="3" t="s">
        <v>47</v>
      </c>
      <c r="AN65" s="3" t="s">
        <v>48</v>
      </c>
      <c r="AO65" s="2"/>
      <c r="AP65" s="3" t="s">
        <v>49</v>
      </c>
      <c r="AQ65" s="3">
        <v>121.07789498818499</v>
      </c>
      <c r="AR65" s="3" t="s">
        <v>50</v>
      </c>
    </row>
    <row r="66" spans="1:44" x14ac:dyDescent="0.2">
      <c r="A66" s="1">
        <v>63</v>
      </c>
      <c r="B66" s="3">
        <v>0</v>
      </c>
      <c r="C66" s="3">
        <v>63</v>
      </c>
      <c r="D66" s="3" t="s">
        <v>51</v>
      </c>
      <c r="E66" s="3">
        <v>1</v>
      </c>
      <c r="F66" s="3">
        <v>0.44382387500081699</v>
      </c>
      <c r="G66" s="3" t="s">
        <v>45</v>
      </c>
      <c r="H66" s="3">
        <v>0</v>
      </c>
      <c r="I66" s="3">
        <v>63</v>
      </c>
      <c r="J66" s="3">
        <v>0</v>
      </c>
      <c r="K66" s="3">
        <v>63</v>
      </c>
      <c r="L66" s="3">
        <v>0</v>
      </c>
      <c r="M66" s="3">
        <v>110.52493070800099</v>
      </c>
      <c r="N66" s="2"/>
      <c r="O66" s="2"/>
      <c r="P66" s="2"/>
      <c r="Q66" s="2"/>
      <c r="R66" s="2"/>
      <c r="S66" s="2"/>
      <c r="T66" s="2"/>
      <c r="U66" s="2"/>
      <c r="V66" s="2"/>
      <c r="W66" s="3">
        <v>110.51702429199899</v>
      </c>
      <c r="X66" s="3">
        <v>110.52493070800099</v>
      </c>
      <c r="Y66" s="3">
        <v>111.50873745799601</v>
      </c>
      <c r="Z66" s="3">
        <v>111.51696554200301</v>
      </c>
      <c r="AA66" s="3">
        <v>111.95887945799799</v>
      </c>
      <c r="AB66" s="3" t="s">
        <v>51</v>
      </c>
      <c r="AC66" s="3">
        <v>1</v>
      </c>
      <c r="AD66" s="3">
        <v>0.44382387500081699</v>
      </c>
      <c r="AE66" s="3" t="s">
        <v>45</v>
      </c>
      <c r="AF66" s="3">
        <v>0</v>
      </c>
      <c r="AG66" s="2"/>
      <c r="AH66" s="2"/>
      <c r="AI66" s="2"/>
      <c r="AJ66" s="2"/>
      <c r="AK66" s="3" t="s">
        <v>46</v>
      </c>
      <c r="AL66" s="3">
        <v>1</v>
      </c>
      <c r="AM66" s="3" t="s">
        <v>47</v>
      </c>
      <c r="AN66" s="3" t="s">
        <v>48</v>
      </c>
      <c r="AO66" s="2"/>
      <c r="AP66" s="3" t="s">
        <v>49</v>
      </c>
      <c r="AQ66" s="3">
        <v>121.07789498818499</v>
      </c>
      <c r="AR66" s="3" t="s">
        <v>50</v>
      </c>
    </row>
    <row r="67" spans="1:44" x14ac:dyDescent="0.2">
      <c r="A67" s="1">
        <v>64</v>
      </c>
      <c r="B67" s="3">
        <v>0</v>
      </c>
      <c r="C67" s="3">
        <v>64</v>
      </c>
      <c r="D67" s="3" t="s">
        <v>51</v>
      </c>
      <c r="E67" s="3">
        <v>1</v>
      </c>
      <c r="F67" s="3">
        <v>0.43545583300147001</v>
      </c>
      <c r="G67" s="3" t="s">
        <v>45</v>
      </c>
      <c r="H67" s="3">
        <v>0</v>
      </c>
      <c r="I67" s="3">
        <v>64</v>
      </c>
      <c r="J67" s="3">
        <v>0</v>
      </c>
      <c r="K67" s="3">
        <v>64</v>
      </c>
      <c r="L67" s="3">
        <v>0</v>
      </c>
      <c r="M67" s="3">
        <v>111.96702525000001</v>
      </c>
      <c r="N67" s="2"/>
      <c r="O67" s="2"/>
      <c r="P67" s="2"/>
      <c r="Q67" s="2"/>
      <c r="R67" s="2"/>
      <c r="S67" s="2"/>
      <c r="T67" s="2"/>
      <c r="U67" s="2"/>
      <c r="V67" s="2"/>
      <c r="W67" s="3">
        <v>111.958937249998</v>
      </c>
      <c r="X67" s="3">
        <v>111.96702525000001</v>
      </c>
      <c r="Y67" s="3">
        <v>112.95005187499901</v>
      </c>
      <c r="Z67" s="3">
        <v>112.958284749999</v>
      </c>
      <c r="AA67" s="3">
        <v>113.39190599999699</v>
      </c>
      <c r="AB67" s="3" t="s">
        <v>51</v>
      </c>
      <c r="AC67" s="3">
        <v>1</v>
      </c>
      <c r="AD67" s="3">
        <v>0.43545583300147001</v>
      </c>
      <c r="AE67" s="3" t="s">
        <v>45</v>
      </c>
      <c r="AF67" s="3">
        <v>0</v>
      </c>
      <c r="AG67" s="2"/>
      <c r="AH67" s="2"/>
      <c r="AI67" s="2"/>
      <c r="AJ67" s="2"/>
      <c r="AK67" s="3" t="s">
        <v>46</v>
      </c>
      <c r="AL67" s="3">
        <v>1</v>
      </c>
      <c r="AM67" s="3" t="s">
        <v>47</v>
      </c>
      <c r="AN67" s="3" t="s">
        <v>48</v>
      </c>
      <c r="AO67" s="2"/>
      <c r="AP67" s="3" t="s">
        <v>49</v>
      </c>
      <c r="AQ67" s="3">
        <v>121.07789498818499</v>
      </c>
      <c r="AR67" s="3" t="s">
        <v>50</v>
      </c>
    </row>
    <row r="68" spans="1:44" x14ac:dyDescent="0.2">
      <c r="A68" s="1">
        <v>65</v>
      </c>
      <c r="B68" s="3">
        <v>0</v>
      </c>
      <c r="C68" s="3">
        <v>65</v>
      </c>
      <c r="D68" s="3" t="s">
        <v>51</v>
      </c>
      <c r="E68" s="3">
        <v>0</v>
      </c>
      <c r="F68" s="3">
        <v>0.38584320899826702</v>
      </c>
      <c r="G68" s="3" t="s">
        <v>45</v>
      </c>
      <c r="H68" s="3">
        <v>1</v>
      </c>
      <c r="I68" s="3">
        <v>65</v>
      </c>
      <c r="J68" s="3">
        <v>0</v>
      </c>
      <c r="K68" s="3">
        <v>65</v>
      </c>
      <c r="L68" s="3">
        <v>0</v>
      </c>
      <c r="M68" s="3">
        <v>113.399921292003</v>
      </c>
      <c r="N68" s="2"/>
      <c r="O68" s="2"/>
      <c r="P68" s="2"/>
      <c r="Q68" s="2"/>
      <c r="R68" s="2"/>
      <c r="S68" s="2"/>
      <c r="T68" s="2"/>
      <c r="U68" s="2"/>
      <c r="V68" s="2"/>
      <c r="W68" s="3">
        <v>113.39197129200301</v>
      </c>
      <c r="X68" s="3">
        <v>113.399921292003</v>
      </c>
      <c r="Y68" s="3">
        <v>114.383667957998</v>
      </c>
      <c r="Z68" s="3">
        <v>114.39193079200101</v>
      </c>
      <c r="AA68" s="3">
        <v>114.775556125001</v>
      </c>
      <c r="AB68" s="3" t="s">
        <v>51</v>
      </c>
      <c r="AC68" s="3">
        <v>0</v>
      </c>
      <c r="AD68" s="3">
        <v>0.38584320899826702</v>
      </c>
      <c r="AE68" s="3" t="s">
        <v>45</v>
      </c>
      <c r="AF68" s="3">
        <v>1</v>
      </c>
      <c r="AG68" s="2"/>
      <c r="AH68" s="2"/>
      <c r="AI68" s="2"/>
      <c r="AJ68" s="2"/>
      <c r="AK68" s="3" t="s">
        <v>46</v>
      </c>
      <c r="AL68" s="3">
        <v>1</v>
      </c>
      <c r="AM68" s="3" t="s">
        <v>47</v>
      </c>
      <c r="AN68" s="3" t="s">
        <v>48</v>
      </c>
      <c r="AO68" s="2"/>
      <c r="AP68" s="3" t="s">
        <v>49</v>
      </c>
      <c r="AQ68" s="3">
        <v>121.07789498818499</v>
      </c>
      <c r="AR68" s="3" t="s">
        <v>50</v>
      </c>
    </row>
    <row r="69" spans="1:44" x14ac:dyDescent="0.2">
      <c r="A69" s="1">
        <v>66</v>
      </c>
      <c r="B69" s="3">
        <v>0</v>
      </c>
      <c r="C69" s="3">
        <v>66</v>
      </c>
      <c r="D69" s="3" t="s">
        <v>51</v>
      </c>
      <c r="E69" s="3">
        <v>1</v>
      </c>
      <c r="F69" s="3">
        <v>0.41172675000416398</v>
      </c>
      <c r="G69" s="3" t="s">
        <v>45</v>
      </c>
      <c r="H69" s="3">
        <v>0</v>
      </c>
      <c r="I69" s="3">
        <v>66</v>
      </c>
      <c r="J69" s="3">
        <v>0</v>
      </c>
      <c r="K69" s="3">
        <v>66</v>
      </c>
      <c r="L69" s="3">
        <v>0</v>
      </c>
      <c r="M69" s="3">
        <v>114.78305141699801</v>
      </c>
      <c r="N69" s="2"/>
      <c r="O69" s="2"/>
      <c r="P69" s="2"/>
      <c r="Q69" s="2"/>
      <c r="R69" s="2"/>
      <c r="S69" s="2"/>
      <c r="T69" s="2"/>
      <c r="U69" s="2"/>
      <c r="V69" s="2"/>
      <c r="W69" s="3">
        <v>114.775614207996</v>
      </c>
      <c r="X69" s="3">
        <v>114.78305141699801</v>
      </c>
      <c r="Y69" s="3">
        <v>115.766679833003</v>
      </c>
      <c r="Z69" s="3">
        <v>115.774894458002</v>
      </c>
      <c r="AA69" s="3">
        <v>116.184143917002</v>
      </c>
      <c r="AB69" s="3" t="s">
        <v>51</v>
      </c>
      <c r="AC69" s="3">
        <v>1</v>
      </c>
      <c r="AD69" s="3">
        <v>0.41172675000416398</v>
      </c>
      <c r="AE69" s="3" t="s">
        <v>45</v>
      </c>
      <c r="AF69" s="3">
        <v>0</v>
      </c>
      <c r="AG69" s="2"/>
      <c r="AH69" s="2"/>
      <c r="AI69" s="2"/>
      <c r="AJ69" s="2"/>
      <c r="AK69" s="3" t="s">
        <v>46</v>
      </c>
      <c r="AL69" s="3">
        <v>1</v>
      </c>
      <c r="AM69" s="3" t="s">
        <v>47</v>
      </c>
      <c r="AN69" s="3" t="s">
        <v>48</v>
      </c>
      <c r="AO69" s="2"/>
      <c r="AP69" s="3" t="s">
        <v>49</v>
      </c>
      <c r="AQ69" s="3">
        <v>121.07789498818499</v>
      </c>
      <c r="AR69" s="3" t="s">
        <v>50</v>
      </c>
    </row>
    <row r="70" spans="1:44" x14ac:dyDescent="0.2">
      <c r="A70" s="1">
        <v>67</v>
      </c>
      <c r="B70" s="3">
        <v>0</v>
      </c>
      <c r="C70" s="3">
        <v>67</v>
      </c>
      <c r="D70" s="3" t="s">
        <v>51</v>
      </c>
      <c r="E70" s="3">
        <v>0</v>
      </c>
      <c r="F70" s="3">
        <v>0.37403349999658497</v>
      </c>
      <c r="G70" s="3" t="s">
        <v>45</v>
      </c>
      <c r="H70" s="3">
        <v>2</v>
      </c>
      <c r="I70" s="3">
        <v>67</v>
      </c>
      <c r="J70" s="3">
        <v>0</v>
      </c>
      <c r="K70" s="3">
        <v>67</v>
      </c>
      <c r="L70" s="3">
        <v>0</v>
      </c>
      <c r="M70" s="3">
        <v>116.191905125001</v>
      </c>
      <c r="N70" s="2"/>
      <c r="O70" s="2"/>
      <c r="P70" s="2"/>
      <c r="Q70" s="2"/>
      <c r="R70" s="2"/>
      <c r="S70" s="2"/>
      <c r="T70" s="2"/>
      <c r="U70" s="2"/>
      <c r="V70" s="2"/>
      <c r="W70" s="3">
        <v>116.184209250001</v>
      </c>
      <c r="X70" s="3">
        <v>116.191905125001</v>
      </c>
      <c r="Y70" s="3">
        <v>117.175331541999</v>
      </c>
      <c r="Z70" s="3">
        <v>117.183558249999</v>
      </c>
      <c r="AA70" s="3">
        <v>117.550020249997</v>
      </c>
      <c r="AB70" s="3" t="s">
        <v>51</v>
      </c>
      <c r="AC70" s="3">
        <v>0</v>
      </c>
      <c r="AD70" s="3">
        <v>0.37403349999658497</v>
      </c>
      <c r="AE70" s="3" t="s">
        <v>45</v>
      </c>
      <c r="AF70" s="3">
        <v>2</v>
      </c>
      <c r="AG70" s="2"/>
      <c r="AH70" s="2"/>
      <c r="AI70" s="2"/>
      <c r="AJ70" s="2"/>
      <c r="AK70" s="3" t="s">
        <v>46</v>
      </c>
      <c r="AL70" s="3">
        <v>1</v>
      </c>
      <c r="AM70" s="3" t="s">
        <v>47</v>
      </c>
      <c r="AN70" s="3" t="s">
        <v>48</v>
      </c>
      <c r="AO70" s="2"/>
      <c r="AP70" s="3" t="s">
        <v>49</v>
      </c>
      <c r="AQ70" s="3">
        <v>121.07789498818499</v>
      </c>
      <c r="AR70" s="3" t="s">
        <v>50</v>
      </c>
    </row>
    <row r="71" spans="1:44" x14ac:dyDescent="0.2">
      <c r="A71" s="1">
        <v>68</v>
      </c>
      <c r="B71" s="3">
        <v>0</v>
      </c>
      <c r="C71" s="3">
        <v>68</v>
      </c>
      <c r="D71" s="3" t="s">
        <v>52</v>
      </c>
      <c r="E71" s="3">
        <v>1</v>
      </c>
      <c r="F71" s="3">
        <v>0.69266816700110201</v>
      </c>
      <c r="G71" s="3" t="s">
        <v>45</v>
      </c>
      <c r="H71" s="3">
        <v>2</v>
      </c>
      <c r="I71" s="3">
        <v>68</v>
      </c>
      <c r="J71" s="3">
        <v>0</v>
      </c>
      <c r="K71" s="3">
        <v>68</v>
      </c>
      <c r="L71" s="3">
        <v>0</v>
      </c>
      <c r="M71" s="3">
        <v>117.558760125001</v>
      </c>
      <c r="N71" s="2"/>
      <c r="O71" s="2"/>
      <c r="P71" s="2"/>
      <c r="Q71" s="2"/>
      <c r="R71" s="2"/>
      <c r="S71" s="2"/>
      <c r="T71" s="2"/>
      <c r="U71" s="2"/>
      <c r="V71" s="2"/>
      <c r="W71" s="3">
        <v>117.550085249997</v>
      </c>
      <c r="X71" s="3">
        <v>117.558760125001</v>
      </c>
      <c r="Y71" s="3">
        <v>118.541578917</v>
      </c>
      <c r="Z71" s="3">
        <v>118.549964167003</v>
      </c>
      <c r="AA71" s="3">
        <v>119.24173279199699</v>
      </c>
      <c r="AB71" s="3" t="s">
        <v>52</v>
      </c>
      <c r="AC71" s="3">
        <v>1</v>
      </c>
      <c r="AD71" s="3">
        <v>0.69266816700110201</v>
      </c>
      <c r="AE71" s="3" t="s">
        <v>45</v>
      </c>
      <c r="AF71" s="3">
        <v>2</v>
      </c>
      <c r="AG71" s="2"/>
      <c r="AH71" s="2"/>
      <c r="AI71" s="2"/>
      <c r="AJ71" s="2"/>
      <c r="AK71" s="3" t="s">
        <v>46</v>
      </c>
      <c r="AL71" s="3">
        <v>1</v>
      </c>
      <c r="AM71" s="3" t="s">
        <v>47</v>
      </c>
      <c r="AN71" s="3" t="s">
        <v>48</v>
      </c>
      <c r="AO71" s="2"/>
      <c r="AP71" s="3" t="s">
        <v>49</v>
      </c>
      <c r="AQ71" s="3">
        <v>121.07789498818499</v>
      </c>
      <c r="AR71" s="3" t="s">
        <v>50</v>
      </c>
    </row>
    <row r="72" spans="1:44" x14ac:dyDescent="0.2">
      <c r="A72" s="1">
        <v>69</v>
      </c>
      <c r="B72" s="3">
        <v>0</v>
      </c>
      <c r="C72" s="3">
        <v>69</v>
      </c>
      <c r="D72" s="3" t="s">
        <v>52</v>
      </c>
      <c r="E72" s="3">
        <v>1</v>
      </c>
      <c r="F72" s="3">
        <v>0.94206058299460005</v>
      </c>
      <c r="G72" s="3" t="s">
        <v>45</v>
      </c>
      <c r="H72" s="3">
        <v>2</v>
      </c>
      <c r="I72" s="3">
        <v>69</v>
      </c>
      <c r="J72" s="3">
        <v>0</v>
      </c>
      <c r="K72" s="3">
        <v>69</v>
      </c>
      <c r="L72" s="3">
        <v>0</v>
      </c>
      <c r="M72" s="3">
        <v>119.249837000003</v>
      </c>
      <c r="N72" s="2"/>
      <c r="O72" s="2"/>
      <c r="P72" s="2"/>
      <c r="Q72" s="2"/>
      <c r="R72" s="2"/>
      <c r="S72" s="2"/>
      <c r="T72" s="2"/>
      <c r="U72" s="2"/>
      <c r="V72" s="2"/>
      <c r="W72" s="3">
        <v>119.24180295799999</v>
      </c>
      <c r="X72" s="3">
        <v>119.249837000003</v>
      </c>
      <c r="Y72" s="3">
        <v>120.23316124999801</v>
      </c>
      <c r="Z72" s="3">
        <v>120.241589500001</v>
      </c>
      <c r="AA72" s="3">
        <v>121.183756708</v>
      </c>
      <c r="AB72" s="3" t="s">
        <v>52</v>
      </c>
      <c r="AC72" s="3">
        <v>1</v>
      </c>
      <c r="AD72" s="3">
        <v>0.94206058299460005</v>
      </c>
      <c r="AE72" s="3" t="s">
        <v>45</v>
      </c>
      <c r="AF72" s="3">
        <v>2</v>
      </c>
      <c r="AG72" s="2"/>
      <c r="AH72" s="2"/>
      <c r="AI72" s="2"/>
      <c r="AJ72" s="2"/>
      <c r="AK72" s="3" t="s">
        <v>46</v>
      </c>
      <c r="AL72" s="3">
        <v>1</v>
      </c>
      <c r="AM72" s="3" t="s">
        <v>47</v>
      </c>
      <c r="AN72" s="3" t="s">
        <v>48</v>
      </c>
      <c r="AO72" s="2"/>
      <c r="AP72" s="3" t="s">
        <v>49</v>
      </c>
      <c r="AQ72" s="3">
        <v>121.07789498818499</v>
      </c>
      <c r="AR72" s="3" t="s">
        <v>50</v>
      </c>
    </row>
    <row r="73" spans="1:44" x14ac:dyDescent="0.2">
      <c r="A73" s="1">
        <v>70</v>
      </c>
      <c r="B73" s="3">
        <v>0</v>
      </c>
      <c r="C73" s="3">
        <v>70</v>
      </c>
      <c r="D73" s="3" t="s">
        <v>52</v>
      </c>
      <c r="E73" s="3">
        <v>1</v>
      </c>
      <c r="F73" s="3">
        <v>0.61746887500339698</v>
      </c>
      <c r="G73" s="3" t="s">
        <v>45</v>
      </c>
      <c r="H73" s="3">
        <v>-5</v>
      </c>
      <c r="I73" s="3">
        <v>70</v>
      </c>
      <c r="J73" s="3">
        <v>0</v>
      </c>
      <c r="K73" s="3">
        <v>70</v>
      </c>
      <c r="L73" s="3">
        <v>0</v>
      </c>
      <c r="M73" s="3">
        <v>121.191577541998</v>
      </c>
      <c r="N73" s="2"/>
      <c r="O73" s="2"/>
      <c r="P73" s="2"/>
      <c r="Q73" s="2"/>
      <c r="R73" s="2"/>
      <c r="S73" s="2"/>
      <c r="T73" s="2"/>
      <c r="U73" s="2"/>
      <c r="V73" s="2"/>
      <c r="W73" s="3">
        <v>121.183824</v>
      </c>
      <c r="X73" s="3">
        <v>121.191577541998</v>
      </c>
      <c r="Y73" s="3">
        <v>122.174660124998</v>
      </c>
      <c r="Z73" s="3">
        <v>122.183040249998</v>
      </c>
      <c r="AA73" s="3">
        <v>122.800014875</v>
      </c>
      <c r="AB73" s="3" t="s">
        <v>52</v>
      </c>
      <c r="AC73" s="3">
        <v>1</v>
      </c>
      <c r="AD73" s="3">
        <v>0.61746887500339698</v>
      </c>
      <c r="AE73" s="3" t="s">
        <v>45</v>
      </c>
      <c r="AF73" s="3">
        <v>-5</v>
      </c>
      <c r="AG73" s="2"/>
      <c r="AH73" s="2"/>
      <c r="AI73" s="2"/>
      <c r="AJ73" s="2"/>
      <c r="AK73" s="3" t="s">
        <v>46</v>
      </c>
      <c r="AL73" s="3">
        <v>1</v>
      </c>
      <c r="AM73" s="3" t="s">
        <v>47</v>
      </c>
      <c r="AN73" s="3" t="s">
        <v>48</v>
      </c>
      <c r="AO73" s="2"/>
      <c r="AP73" s="3" t="s">
        <v>49</v>
      </c>
      <c r="AQ73" s="3">
        <v>121.07789498818499</v>
      </c>
      <c r="AR73" s="3" t="s">
        <v>50</v>
      </c>
    </row>
    <row r="74" spans="1:44" x14ac:dyDescent="0.2">
      <c r="A74" s="1">
        <v>71</v>
      </c>
      <c r="B74" s="3">
        <v>0</v>
      </c>
      <c r="C74" s="3">
        <v>71</v>
      </c>
      <c r="D74" s="3" t="s">
        <v>51</v>
      </c>
      <c r="E74" s="3">
        <v>0</v>
      </c>
      <c r="F74" s="3">
        <v>0.82343333299650101</v>
      </c>
      <c r="G74" s="3" t="s">
        <v>45</v>
      </c>
      <c r="H74" s="3">
        <v>2</v>
      </c>
      <c r="I74" s="3">
        <v>71</v>
      </c>
      <c r="J74" s="3">
        <v>0</v>
      </c>
      <c r="K74" s="3">
        <v>71</v>
      </c>
      <c r="L74" s="3">
        <v>0</v>
      </c>
      <c r="M74" s="3">
        <v>122.80809875</v>
      </c>
      <c r="N74" s="2"/>
      <c r="O74" s="2"/>
      <c r="P74" s="2"/>
      <c r="Q74" s="2"/>
      <c r="R74" s="2"/>
      <c r="S74" s="2"/>
      <c r="T74" s="2"/>
      <c r="U74" s="2"/>
      <c r="V74" s="2"/>
      <c r="W74" s="3">
        <v>122.800077708001</v>
      </c>
      <c r="X74" s="3">
        <v>122.80809875</v>
      </c>
      <c r="Y74" s="3">
        <v>123.79183175000099</v>
      </c>
      <c r="Z74" s="3">
        <v>123.80015779199999</v>
      </c>
      <c r="AA74" s="3">
        <v>124.617029957997</v>
      </c>
      <c r="AB74" s="3" t="s">
        <v>51</v>
      </c>
      <c r="AC74" s="3">
        <v>0</v>
      </c>
      <c r="AD74" s="3">
        <v>0.82343333299650101</v>
      </c>
      <c r="AE74" s="3" t="s">
        <v>45</v>
      </c>
      <c r="AF74" s="3">
        <v>2</v>
      </c>
      <c r="AG74" s="2"/>
      <c r="AH74" s="2"/>
      <c r="AI74" s="2"/>
      <c r="AJ74" s="2"/>
      <c r="AK74" s="3" t="s">
        <v>46</v>
      </c>
      <c r="AL74" s="3">
        <v>1</v>
      </c>
      <c r="AM74" s="3" t="s">
        <v>47</v>
      </c>
      <c r="AN74" s="3" t="s">
        <v>48</v>
      </c>
      <c r="AO74" s="2"/>
      <c r="AP74" s="3" t="s">
        <v>49</v>
      </c>
      <c r="AQ74" s="3">
        <v>121.07789498818499</v>
      </c>
      <c r="AR74" s="3" t="s">
        <v>50</v>
      </c>
    </row>
    <row r="75" spans="1:44" x14ac:dyDescent="0.2">
      <c r="A75" s="1">
        <v>72</v>
      </c>
      <c r="B75" s="3">
        <v>0</v>
      </c>
      <c r="C75" s="3">
        <v>72</v>
      </c>
      <c r="D75" s="3" t="s">
        <v>51</v>
      </c>
      <c r="E75" s="3">
        <v>1</v>
      </c>
      <c r="F75" s="3">
        <v>0.46495166700333401</v>
      </c>
      <c r="G75" s="3" t="s">
        <v>45</v>
      </c>
      <c r="H75" s="3">
        <v>0</v>
      </c>
      <c r="I75" s="3">
        <v>72</v>
      </c>
      <c r="J75" s="3">
        <v>0</v>
      </c>
      <c r="K75" s="3">
        <v>72</v>
      </c>
      <c r="L75" s="3">
        <v>0</v>
      </c>
      <c r="M75" s="3">
        <v>124.62505204199999</v>
      </c>
      <c r="N75" s="2"/>
      <c r="O75" s="2"/>
      <c r="P75" s="2"/>
      <c r="Q75" s="2"/>
      <c r="R75" s="2"/>
      <c r="S75" s="2"/>
      <c r="T75" s="2"/>
      <c r="U75" s="2"/>
      <c r="V75" s="2"/>
      <c r="W75" s="3">
        <v>124.617085917002</v>
      </c>
      <c r="X75" s="3">
        <v>124.62505204199999</v>
      </c>
      <c r="Y75" s="3">
        <v>125.608050791998</v>
      </c>
      <c r="Z75" s="3">
        <v>125.616477458003</v>
      </c>
      <c r="AA75" s="3">
        <v>126.07468916699899</v>
      </c>
      <c r="AB75" s="3" t="s">
        <v>51</v>
      </c>
      <c r="AC75" s="3">
        <v>1</v>
      </c>
      <c r="AD75" s="3">
        <v>0.46495166700333401</v>
      </c>
      <c r="AE75" s="3" t="s">
        <v>45</v>
      </c>
      <c r="AF75" s="3">
        <v>0</v>
      </c>
      <c r="AG75" s="2"/>
      <c r="AH75" s="2"/>
      <c r="AI75" s="2"/>
      <c r="AJ75" s="2"/>
      <c r="AK75" s="3" t="s">
        <v>46</v>
      </c>
      <c r="AL75" s="3">
        <v>1</v>
      </c>
      <c r="AM75" s="3" t="s">
        <v>47</v>
      </c>
      <c r="AN75" s="3" t="s">
        <v>48</v>
      </c>
      <c r="AO75" s="2"/>
      <c r="AP75" s="3" t="s">
        <v>49</v>
      </c>
      <c r="AQ75" s="3">
        <v>121.07789498818499</v>
      </c>
      <c r="AR75" s="3" t="s">
        <v>50</v>
      </c>
    </row>
    <row r="76" spans="1:44" x14ac:dyDescent="0.2">
      <c r="A76" s="1">
        <v>73</v>
      </c>
      <c r="B76" s="3">
        <v>0</v>
      </c>
      <c r="C76" s="3">
        <v>73</v>
      </c>
      <c r="D76" s="3" t="s">
        <v>52</v>
      </c>
      <c r="E76" s="3">
        <v>1</v>
      </c>
      <c r="F76" s="3">
        <v>0.98817612499988206</v>
      </c>
      <c r="G76" s="3" t="s">
        <v>45</v>
      </c>
      <c r="H76" s="3">
        <v>-4</v>
      </c>
      <c r="I76" s="3">
        <v>73</v>
      </c>
      <c r="J76" s="3">
        <v>0</v>
      </c>
      <c r="K76" s="3">
        <v>73</v>
      </c>
      <c r="L76" s="3">
        <v>0</v>
      </c>
      <c r="M76" s="3">
        <v>126.082569207996</v>
      </c>
      <c r="N76" s="2"/>
      <c r="O76" s="2"/>
      <c r="P76" s="2"/>
      <c r="Q76" s="2"/>
      <c r="R76" s="2"/>
      <c r="S76" s="2"/>
      <c r="T76" s="2"/>
      <c r="U76" s="2"/>
      <c r="V76" s="2"/>
      <c r="W76" s="3">
        <v>126.074756707996</v>
      </c>
      <c r="X76" s="3">
        <v>126.082569207996</v>
      </c>
      <c r="Y76" s="3">
        <v>127.066770541998</v>
      </c>
      <c r="Z76" s="3">
        <v>127.07476937500201</v>
      </c>
      <c r="AA76" s="3">
        <v>128.05889220799901</v>
      </c>
      <c r="AB76" s="3" t="s">
        <v>52</v>
      </c>
      <c r="AC76" s="3">
        <v>1</v>
      </c>
      <c r="AD76" s="3">
        <v>0.98817612499988206</v>
      </c>
      <c r="AE76" s="3" t="s">
        <v>45</v>
      </c>
      <c r="AF76" s="3">
        <v>-4</v>
      </c>
      <c r="AG76" s="2"/>
      <c r="AH76" s="2"/>
      <c r="AI76" s="2"/>
      <c r="AJ76" s="2"/>
      <c r="AK76" s="3" t="s">
        <v>46</v>
      </c>
      <c r="AL76" s="3">
        <v>1</v>
      </c>
      <c r="AM76" s="3" t="s">
        <v>47</v>
      </c>
      <c r="AN76" s="3" t="s">
        <v>48</v>
      </c>
      <c r="AO76" s="2"/>
      <c r="AP76" s="3" t="s">
        <v>49</v>
      </c>
      <c r="AQ76" s="3">
        <v>121.07789498818499</v>
      </c>
      <c r="AR76" s="3" t="s">
        <v>50</v>
      </c>
    </row>
    <row r="77" spans="1:44" x14ac:dyDescent="0.2">
      <c r="A77" s="1">
        <v>74</v>
      </c>
      <c r="B77" s="3">
        <v>0</v>
      </c>
      <c r="C77" s="3">
        <v>74</v>
      </c>
      <c r="D77" s="3" t="s">
        <v>51</v>
      </c>
      <c r="E77" s="3">
        <v>0</v>
      </c>
      <c r="F77" s="3">
        <v>0.61777029200311495</v>
      </c>
      <c r="G77" s="3" t="s">
        <v>45</v>
      </c>
      <c r="H77" s="3">
        <v>1</v>
      </c>
      <c r="I77" s="3">
        <v>74</v>
      </c>
      <c r="J77" s="3">
        <v>0</v>
      </c>
      <c r="K77" s="3">
        <v>74</v>
      </c>
      <c r="L77" s="3">
        <v>0</v>
      </c>
      <c r="M77" s="3">
        <v>128.066821624998</v>
      </c>
      <c r="N77" s="2"/>
      <c r="O77" s="2"/>
      <c r="P77" s="2"/>
      <c r="Q77" s="2"/>
      <c r="R77" s="2"/>
      <c r="S77" s="2"/>
      <c r="T77" s="2"/>
      <c r="U77" s="2"/>
      <c r="V77" s="2"/>
      <c r="W77" s="3">
        <v>128.05896904200199</v>
      </c>
      <c r="X77" s="3">
        <v>128.066821624998</v>
      </c>
      <c r="Y77" s="3">
        <v>129.05011916699701</v>
      </c>
      <c r="Z77" s="3">
        <v>129.058348999999</v>
      </c>
      <c r="AA77" s="3">
        <v>129.675257417002</v>
      </c>
      <c r="AB77" s="3" t="s">
        <v>51</v>
      </c>
      <c r="AC77" s="3">
        <v>0</v>
      </c>
      <c r="AD77" s="3">
        <v>0.61777029200311495</v>
      </c>
      <c r="AE77" s="3" t="s">
        <v>45</v>
      </c>
      <c r="AF77" s="3">
        <v>1</v>
      </c>
      <c r="AG77" s="2"/>
      <c r="AH77" s="2"/>
      <c r="AI77" s="2"/>
      <c r="AJ77" s="2"/>
      <c r="AK77" s="3" t="s">
        <v>46</v>
      </c>
      <c r="AL77" s="3">
        <v>1</v>
      </c>
      <c r="AM77" s="3" t="s">
        <v>47</v>
      </c>
      <c r="AN77" s="3" t="s">
        <v>48</v>
      </c>
      <c r="AO77" s="2"/>
      <c r="AP77" s="3" t="s">
        <v>49</v>
      </c>
      <c r="AQ77" s="3">
        <v>121.07789498818499</v>
      </c>
      <c r="AR77" s="3" t="s">
        <v>50</v>
      </c>
    </row>
    <row r="78" spans="1:44" x14ac:dyDescent="0.2">
      <c r="A78" s="1">
        <v>75</v>
      </c>
      <c r="B78" s="3">
        <v>0</v>
      </c>
      <c r="C78" s="3">
        <v>75</v>
      </c>
      <c r="D78" s="3" t="s">
        <v>51</v>
      </c>
      <c r="E78" s="3">
        <v>0</v>
      </c>
      <c r="F78" s="3">
        <v>0.592111083999043</v>
      </c>
      <c r="G78" s="3" t="s">
        <v>45</v>
      </c>
      <c r="H78" s="3">
        <v>1</v>
      </c>
      <c r="I78" s="3">
        <v>75</v>
      </c>
      <c r="J78" s="3">
        <v>0</v>
      </c>
      <c r="K78" s="3">
        <v>75</v>
      </c>
      <c r="L78" s="3">
        <v>0</v>
      </c>
      <c r="M78" s="3">
        <v>129.68337795799701</v>
      </c>
      <c r="N78" s="2"/>
      <c r="O78" s="2"/>
      <c r="P78" s="2"/>
      <c r="Q78" s="2"/>
      <c r="R78" s="2"/>
      <c r="S78" s="2"/>
      <c r="T78" s="2"/>
      <c r="U78" s="2"/>
      <c r="V78" s="2"/>
      <c r="W78" s="3">
        <v>129.67532529200301</v>
      </c>
      <c r="X78" s="3">
        <v>129.68337795799701</v>
      </c>
      <c r="Y78" s="3">
        <v>130.66669766700201</v>
      </c>
      <c r="Z78" s="3">
        <v>130.675076166997</v>
      </c>
      <c r="AA78" s="3">
        <v>131.26698899999599</v>
      </c>
      <c r="AB78" s="3" t="s">
        <v>51</v>
      </c>
      <c r="AC78" s="3">
        <v>0</v>
      </c>
      <c r="AD78" s="3">
        <v>0.592111083999043</v>
      </c>
      <c r="AE78" s="3" t="s">
        <v>45</v>
      </c>
      <c r="AF78" s="3">
        <v>1</v>
      </c>
      <c r="AG78" s="2"/>
      <c r="AH78" s="2"/>
      <c r="AI78" s="2"/>
      <c r="AJ78" s="2"/>
      <c r="AK78" s="3" t="s">
        <v>46</v>
      </c>
      <c r="AL78" s="3">
        <v>1</v>
      </c>
      <c r="AM78" s="3" t="s">
        <v>47</v>
      </c>
      <c r="AN78" s="3" t="s">
        <v>48</v>
      </c>
      <c r="AO78" s="2"/>
      <c r="AP78" s="3" t="s">
        <v>49</v>
      </c>
      <c r="AQ78" s="3">
        <v>121.07789498818499</v>
      </c>
      <c r="AR78" s="3" t="s">
        <v>50</v>
      </c>
    </row>
    <row r="79" spans="1:44" x14ac:dyDescent="0.2">
      <c r="A79" s="1">
        <v>76</v>
      </c>
      <c r="B79" s="3">
        <v>0</v>
      </c>
      <c r="C79" s="3">
        <v>76</v>
      </c>
      <c r="D79" s="3" t="s">
        <v>51</v>
      </c>
      <c r="E79" s="3">
        <v>1</v>
      </c>
      <c r="F79" s="3">
        <v>0.48560591699788302</v>
      </c>
      <c r="G79" s="3" t="s">
        <v>45</v>
      </c>
      <c r="H79" s="3">
        <v>0</v>
      </c>
      <c r="I79" s="3">
        <v>76</v>
      </c>
      <c r="J79" s="3">
        <v>0</v>
      </c>
      <c r="K79" s="3">
        <v>76</v>
      </c>
      <c r="L79" s="3">
        <v>0</v>
      </c>
      <c r="M79" s="3">
        <v>131.27479641699799</v>
      </c>
      <c r="N79" s="2"/>
      <c r="O79" s="2"/>
      <c r="P79" s="2"/>
      <c r="Q79" s="2"/>
      <c r="R79" s="2"/>
      <c r="S79" s="2"/>
      <c r="T79" s="2"/>
      <c r="U79" s="2"/>
      <c r="V79" s="2"/>
      <c r="W79" s="3">
        <v>131.26704816699899</v>
      </c>
      <c r="X79" s="3">
        <v>131.27479641699799</v>
      </c>
      <c r="Y79" s="3">
        <v>132.25815087500101</v>
      </c>
      <c r="Z79" s="3">
        <v>132.266304874996</v>
      </c>
      <c r="AA79" s="3">
        <v>132.75021312499999</v>
      </c>
      <c r="AB79" s="3" t="s">
        <v>51</v>
      </c>
      <c r="AC79" s="3">
        <v>1</v>
      </c>
      <c r="AD79" s="3">
        <v>0.48560591699788302</v>
      </c>
      <c r="AE79" s="3" t="s">
        <v>45</v>
      </c>
      <c r="AF79" s="3">
        <v>0</v>
      </c>
      <c r="AG79" s="2"/>
      <c r="AH79" s="2"/>
      <c r="AI79" s="2"/>
      <c r="AJ79" s="2"/>
      <c r="AK79" s="3" t="s">
        <v>46</v>
      </c>
      <c r="AL79" s="3">
        <v>1</v>
      </c>
      <c r="AM79" s="3" t="s">
        <v>47</v>
      </c>
      <c r="AN79" s="3" t="s">
        <v>48</v>
      </c>
      <c r="AO79" s="2"/>
      <c r="AP79" s="3" t="s">
        <v>49</v>
      </c>
      <c r="AQ79" s="3">
        <v>121.07789498818499</v>
      </c>
      <c r="AR79" s="3" t="s">
        <v>50</v>
      </c>
    </row>
    <row r="80" spans="1:44" x14ac:dyDescent="0.2">
      <c r="A80" s="1">
        <v>77</v>
      </c>
      <c r="B80" s="3">
        <v>0</v>
      </c>
      <c r="C80" s="3">
        <v>77</v>
      </c>
      <c r="D80" s="3" t="s">
        <v>52</v>
      </c>
      <c r="E80" s="3">
        <v>1</v>
      </c>
      <c r="F80" s="3">
        <v>0.81927441700099701</v>
      </c>
      <c r="G80" s="3" t="s">
        <v>45</v>
      </c>
      <c r="H80" s="3">
        <v>2</v>
      </c>
      <c r="I80" s="3">
        <v>77</v>
      </c>
      <c r="J80" s="3">
        <v>0</v>
      </c>
      <c r="K80" s="3">
        <v>77</v>
      </c>
      <c r="L80" s="3">
        <v>0</v>
      </c>
      <c r="M80" s="3">
        <v>132.75834987500301</v>
      </c>
      <c r="N80" s="2"/>
      <c r="O80" s="2"/>
      <c r="P80" s="2"/>
      <c r="Q80" s="2"/>
      <c r="R80" s="2"/>
      <c r="S80" s="2"/>
      <c r="T80" s="2"/>
      <c r="U80" s="2"/>
      <c r="V80" s="2"/>
      <c r="W80" s="3">
        <v>132.75028095799601</v>
      </c>
      <c r="X80" s="3">
        <v>132.75834987500301</v>
      </c>
      <c r="Y80" s="3">
        <v>133.741623374997</v>
      </c>
      <c r="Z80" s="3">
        <v>133.750039708</v>
      </c>
      <c r="AA80" s="3">
        <v>134.566964124999</v>
      </c>
      <c r="AB80" s="3" t="s">
        <v>52</v>
      </c>
      <c r="AC80" s="3">
        <v>1</v>
      </c>
      <c r="AD80" s="3">
        <v>0.81927441700099701</v>
      </c>
      <c r="AE80" s="3" t="s">
        <v>45</v>
      </c>
      <c r="AF80" s="3">
        <v>2</v>
      </c>
      <c r="AG80" s="2"/>
      <c r="AH80" s="2"/>
      <c r="AI80" s="2"/>
      <c r="AJ80" s="2"/>
      <c r="AK80" s="3" t="s">
        <v>46</v>
      </c>
      <c r="AL80" s="3">
        <v>1</v>
      </c>
      <c r="AM80" s="3" t="s">
        <v>47</v>
      </c>
      <c r="AN80" s="3" t="s">
        <v>48</v>
      </c>
      <c r="AO80" s="2"/>
      <c r="AP80" s="3" t="s">
        <v>49</v>
      </c>
      <c r="AQ80" s="3">
        <v>121.07789498818499</v>
      </c>
      <c r="AR80" s="3" t="s">
        <v>50</v>
      </c>
    </row>
    <row r="81" spans="1:44" x14ac:dyDescent="0.2">
      <c r="A81" s="1">
        <v>78</v>
      </c>
      <c r="B81" s="3">
        <v>0</v>
      </c>
      <c r="C81" s="3">
        <v>78</v>
      </c>
      <c r="D81" s="3" t="s">
        <v>51</v>
      </c>
      <c r="E81" s="3">
        <v>1</v>
      </c>
      <c r="F81" s="3">
        <v>0.65370904200244695</v>
      </c>
      <c r="G81" s="3" t="s">
        <v>45</v>
      </c>
      <c r="H81" s="3">
        <v>0</v>
      </c>
      <c r="I81" s="3">
        <v>78</v>
      </c>
      <c r="J81" s="3">
        <v>0</v>
      </c>
      <c r="K81" s="3">
        <v>78</v>
      </c>
      <c r="L81" s="3">
        <v>0</v>
      </c>
      <c r="M81" s="3">
        <v>134.574786958001</v>
      </c>
      <c r="N81" s="2"/>
      <c r="O81" s="2"/>
      <c r="P81" s="2"/>
      <c r="Q81" s="2"/>
      <c r="R81" s="2"/>
      <c r="S81" s="2"/>
      <c r="T81" s="2"/>
      <c r="U81" s="2"/>
      <c r="V81" s="2"/>
      <c r="W81" s="3">
        <v>134.56702262499999</v>
      </c>
      <c r="X81" s="3">
        <v>134.574786958001</v>
      </c>
      <c r="Y81" s="3">
        <v>135.55792841700199</v>
      </c>
      <c r="Z81" s="3">
        <v>135.566373957998</v>
      </c>
      <c r="AA81" s="3">
        <v>136.216602166998</v>
      </c>
      <c r="AB81" s="3" t="s">
        <v>51</v>
      </c>
      <c r="AC81" s="3">
        <v>1</v>
      </c>
      <c r="AD81" s="3">
        <v>0.65370904200244695</v>
      </c>
      <c r="AE81" s="3" t="s">
        <v>45</v>
      </c>
      <c r="AF81" s="3">
        <v>0</v>
      </c>
      <c r="AG81" s="2"/>
      <c r="AH81" s="2"/>
      <c r="AI81" s="2"/>
      <c r="AJ81" s="2"/>
      <c r="AK81" s="3" t="s">
        <v>46</v>
      </c>
      <c r="AL81" s="3">
        <v>1</v>
      </c>
      <c r="AM81" s="3" t="s">
        <v>47</v>
      </c>
      <c r="AN81" s="3" t="s">
        <v>48</v>
      </c>
      <c r="AO81" s="2"/>
      <c r="AP81" s="3" t="s">
        <v>49</v>
      </c>
      <c r="AQ81" s="3">
        <v>121.07789498818499</v>
      </c>
      <c r="AR81" s="3" t="s">
        <v>50</v>
      </c>
    </row>
    <row r="82" spans="1:44" x14ac:dyDescent="0.2">
      <c r="A82" s="1">
        <v>79</v>
      </c>
      <c r="B82" s="3">
        <v>0</v>
      </c>
      <c r="C82" s="3">
        <v>79</v>
      </c>
      <c r="D82" s="3" t="s">
        <v>51</v>
      </c>
      <c r="E82" s="3">
        <v>1</v>
      </c>
      <c r="F82" s="3">
        <v>0.61889804100064805</v>
      </c>
      <c r="G82" s="3" t="s">
        <v>45</v>
      </c>
      <c r="H82" s="3">
        <v>0</v>
      </c>
      <c r="I82" s="3">
        <v>79</v>
      </c>
      <c r="J82" s="3">
        <v>0</v>
      </c>
      <c r="K82" s="3">
        <v>79</v>
      </c>
      <c r="L82" s="3">
        <v>0</v>
      </c>
      <c r="M82" s="3">
        <v>136.22465508300201</v>
      </c>
      <c r="N82" s="2"/>
      <c r="O82" s="2"/>
      <c r="P82" s="2"/>
      <c r="Q82" s="2"/>
      <c r="R82" s="2"/>
      <c r="S82" s="2"/>
      <c r="T82" s="2"/>
      <c r="U82" s="2"/>
      <c r="V82" s="2"/>
      <c r="W82" s="3">
        <v>136.216682917002</v>
      </c>
      <c r="X82" s="3">
        <v>136.22465508300201</v>
      </c>
      <c r="Y82" s="3">
        <v>137.208036457996</v>
      </c>
      <c r="Z82" s="3">
        <v>137.216301499997</v>
      </c>
      <c r="AA82" s="3">
        <v>137.833585542001</v>
      </c>
      <c r="AB82" s="3" t="s">
        <v>51</v>
      </c>
      <c r="AC82" s="3">
        <v>1</v>
      </c>
      <c r="AD82" s="3">
        <v>0.61889804100064805</v>
      </c>
      <c r="AE82" s="3" t="s">
        <v>45</v>
      </c>
      <c r="AF82" s="3">
        <v>0</v>
      </c>
      <c r="AG82" s="2"/>
      <c r="AH82" s="2"/>
      <c r="AI82" s="2"/>
      <c r="AJ82" s="2"/>
      <c r="AK82" s="3" t="s">
        <v>46</v>
      </c>
      <c r="AL82" s="3">
        <v>1</v>
      </c>
      <c r="AM82" s="3" t="s">
        <v>47</v>
      </c>
      <c r="AN82" s="3" t="s">
        <v>48</v>
      </c>
      <c r="AO82" s="2"/>
      <c r="AP82" s="3" t="s">
        <v>49</v>
      </c>
      <c r="AQ82" s="3">
        <v>121.07789498818499</v>
      </c>
      <c r="AR82" s="3" t="s">
        <v>50</v>
      </c>
    </row>
    <row r="83" spans="1:44" x14ac:dyDescent="0.2">
      <c r="A83" s="1">
        <v>80</v>
      </c>
      <c r="B83" s="3">
        <v>0</v>
      </c>
      <c r="C83" s="3">
        <v>80</v>
      </c>
      <c r="D83" s="3" t="s">
        <v>51</v>
      </c>
      <c r="E83" s="3">
        <v>1</v>
      </c>
      <c r="F83" s="3">
        <v>0.53270616700319795</v>
      </c>
      <c r="G83" s="3" t="s">
        <v>45</v>
      </c>
      <c r="H83" s="3">
        <v>0</v>
      </c>
      <c r="I83" s="3">
        <v>80</v>
      </c>
      <c r="J83" s="3">
        <v>0</v>
      </c>
      <c r="K83" s="3">
        <v>80</v>
      </c>
      <c r="L83" s="3">
        <v>0</v>
      </c>
      <c r="M83" s="3">
        <v>137.84083304199899</v>
      </c>
      <c r="N83" s="2"/>
      <c r="O83" s="2"/>
      <c r="P83" s="2"/>
      <c r="Q83" s="2"/>
      <c r="R83" s="2"/>
      <c r="S83" s="2"/>
      <c r="T83" s="2"/>
      <c r="U83" s="2"/>
      <c r="V83" s="2"/>
      <c r="W83" s="3">
        <v>137.83365483299701</v>
      </c>
      <c r="X83" s="3">
        <v>137.84083304199899</v>
      </c>
      <c r="Y83" s="3">
        <v>138.82495895800099</v>
      </c>
      <c r="Z83" s="3">
        <v>138.83321062500201</v>
      </c>
      <c r="AA83" s="3">
        <v>139.358381708</v>
      </c>
      <c r="AB83" s="3" t="s">
        <v>51</v>
      </c>
      <c r="AC83" s="3">
        <v>1</v>
      </c>
      <c r="AD83" s="3">
        <v>0.53270616700319795</v>
      </c>
      <c r="AE83" s="3" t="s">
        <v>45</v>
      </c>
      <c r="AF83" s="3">
        <v>0</v>
      </c>
      <c r="AG83" s="2"/>
      <c r="AH83" s="2"/>
      <c r="AI83" s="2"/>
      <c r="AJ83" s="2"/>
      <c r="AK83" s="3" t="s">
        <v>46</v>
      </c>
      <c r="AL83" s="3">
        <v>1</v>
      </c>
      <c r="AM83" s="3" t="s">
        <v>47</v>
      </c>
      <c r="AN83" s="3" t="s">
        <v>48</v>
      </c>
      <c r="AO83" s="2"/>
      <c r="AP83" s="3" t="s">
        <v>49</v>
      </c>
      <c r="AQ83" s="3">
        <v>121.07789498818499</v>
      </c>
      <c r="AR83" s="3" t="s">
        <v>50</v>
      </c>
    </row>
    <row r="84" spans="1:44" x14ac:dyDescent="0.2">
      <c r="A84" s="1">
        <v>81</v>
      </c>
      <c r="B84" s="3">
        <v>0</v>
      </c>
      <c r="C84" s="3">
        <v>81</v>
      </c>
      <c r="D84" s="3" t="s">
        <v>51</v>
      </c>
      <c r="E84" s="3">
        <v>0</v>
      </c>
      <c r="F84" s="3">
        <v>0.60461320800095597</v>
      </c>
      <c r="G84" s="3" t="s">
        <v>45</v>
      </c>
      <c r="H84" s="3">
        <v>-2</v>
      </c>
      <c r="I84" s="3">
        <v>81</v>
      </c>
      <c r="J84" s="3">
        <v>0</v>
      </c>
      <c r="K84" s="3">
        <v>81</v>
      </c>
      <c r="L84" s="3">
        <v>0</v>
      </c>
      <c r="M84" s="3">
        <v>139.366583042</v>
      </c>
      <c r="N84" s="2"/>
      <c r="O84" s="2"/>
      <c r="P84" s="2"/>
      <c r="Q84" s="2"/>
      <c r="R84" s="2"/>
      <c r="S84" s="2"/>
      <c r="T84" s="2"/>
      <c r="U84" s="2"/>
      <c r="V84" s="2"/>
      <c r="W84" s="3">
        <v>139.358457041999</v>
      </c>
      <c r="X84" s="3">
        <v>139.366583042</v>
      </c>
      <c r="Y84" s="3">
        <v>140.34985070799999</v>
      </c>
      <c r="Z84" s="3">
        <v>140.35824408299999</v>
      </c>
      <c r="AA84" s="3">
        <v>140.958190666999</v>
      </c>
      <c r="AB84" s="3" t="s">
        <v>51</v>
      </c>
      <c r="AC84" s="3">
        <v>0</v>
      </c>
      <c r="AD84" s="3">
        <v>0.60461320800095597</v>
      </c>
      <c r="AE84" s="3" t="s">
        <v>45</v>
      </c>
      <c r="AF84" s="3">
        <v>-2</v>
      </c>
      <c r="AG84" s="2"/>
      <c r="AH84" s="2"/>
      <c r="AI84" s="2"/>
      <c r="AJ84" s="2"/>
      <c r="AK84" s="3" t="s">
        <v>46</v>
      </c>
      <c r="AL84" s="3">
        <v>1</v>
      </c>
      <c r="AM84" s="3" t="s">
        <v>47</v>
      </c>
      <c r="AN84" s="3" t="s">
        <v>48</v>
      </c>
      <c r="AO84" s="2"/>
      <c r="AP84" s="3" t="s">
        <v>49</v>
      </c>
      <c r="AQ84" s="3">
        <v>121.07789498818499</v>
      </c>
      <c r="AR84" s="3" t="s">
        <v>50</v>
      </c>
    </row>
    <row r="85" spans="1:44" x14ac:dyDescent="0.2">
      <c r="A85" s="1">
        <v>82</v>
      </c>
      <c r="B85" s="3">
        <v>0</v>
      </c>
      <c r="C85" s="3">
        <v>82</v>
      </c>
      <c r="D85" s="3" t="s">
        <v>52</v>
      </c>
      <c r="E85" s="3">
        <v>1</v>
      </c>
      <c r="F85" s="3">
        <v>0.56749125000351297</v>
      </c>
      <c r="G85" s="3" t="s">
        <v>45</v>
      </c>
      <c r="H85" s="3">
        <v>4</v>
      </c>
      <c r="I85" s="3">
        <v>82</v>
      </c>
      <c r="J85" s="3">
        <v>0</v>
      </c>
      <c r="K85" s="3">
        <v>82</v>
      </c>
      <c r="L85" s="3">
        <v>0</v>
      </c>
      <c r="M85" s="3">
        <v>140.966153458001</v>
      </c>
      <c r="N85" s="2"/>
      <c r="O85" s="2"/>
      <c r="P85" s="2"/>
      <c r="Q85" s="2"/>
      <c r="R85" s="2"/>
      <c r="S85" s="2"/>
      <c r="T85" s="2"/>
      <c r="U85" s="2"/>
      <c r="V85" s="2"/>
      <c r="W85" s="3">
        <v>140.95826824999699</v>
      </c>
      <c r="X85" s="3">
        <v>140.966153458001</v>
      </c>
      <c r="Y85" s="3">
        <v>141.949886625</v>
      </c>
      <c r="Z85" s="3">
        <v>141.958214792001</v>
      </c>
      <c r="AA85" s="3">
        <v>142.52506400000101</v>
      </c>
      <c r="AB85" s="3" t="s">
        <v>52</v>
      </c>
      <c r="AC85" s="3">
        <v>1</v>
      </c>
      <c r="AD85" s="3">
        <v>0.56749125000351297</v>
      </c>
      <c r="AE85" s="3" t="s">
        <v>45</v>
      </c>
      <c r="AF85" s="3">
        <v>4</v>
      </c>
      <c r="AG85" s="2"/>
      <c r="AH85" s="2"/>
      <c r="AI85" s="2"/>
      <c r="AJ85" s="2"/>
      <c r="AK85" s="3" t="s">
        <v>46</v>
      </c>
      <c r="AL85" s="3">
        <v>1</v>
      </c>
      <c r="AM85" s="3" t="s">
        <v>47</v>
      </c>
      <c r="AN85" s="3" t="s">
        <v>48</v>
      </c>
      <c r="AO85" s="2"/>
      <c r="AP85" s="3" t="s">
        <v>49</v>
      </c>
      <c r="AQ85" s="3">
        <v>121.07789498818499</v>
      </c>
      <c r="AR85" s="3" t="s">
        <v>50</v>
      </c>
    </row>
    <row r="86" spans="1:44" x14ac:dyDescent="0.2">
      <c r="A86" s="1">
        <v>83</v>
      </c>
      <c r="B86" s="3">
        <v>0</v>
      </c>
      <c r="C86" s="3">
        <v>83</v>
      </c>
      <c r="D86" s="3" t="s">
        <v>51</v>
      </c>
      <c r="E86" s="3">
        <v>0</v>
      </c>
      <c r="F86" s="3">
        <v>0.57183945800352398</v>
      </c>
      <c r="G86" s="3" t="s">
        <v>45</v>
      </c>
      <c r="H86" s="3">
        <v>1</v>
      </c>
      <c r="I86" s="3">
        <v>83</v>
      </c>
      <c r="J86" s="3">
        <v>0</v>
      </c>
      <c r="K86" s="3">
        <v>83</v>
      </c>
      <c r="L86" s="3">
        <v>0</v>
      </c>
      <c r="M86" s="3">
        <v>142.53322995799701</v>
      </c>
      <c r="N86" s="2"/>
      <c r="O86" s="2"/>
      <c r="P86" s="2"/>
      <c r="Q86" s="2"/>
      <c r="R86" s="2"/>
      <c r="S86" s="2"/>
      <c r="T86" s="2"/>
      <c r="U86" s="2"/>
      <c r="V86" s="2"/>
      <c r="W86" s="3">
        <v>142.52513875000301</v>
      </c>
      <c r="X86" s="3">
        <v>142.53322995799701</v>
      </c>
      <c r="Y86" s="3">
        <v>143.516519167002</v>
      </c>
      <c r="Z86" s="3">
        <v>143.524965124998</v>
      </c>
      <c r="AA86" s="3">
        <v>144.09178554199801</v>
      </c>
      <c r="AB86" s="3" t="s">
        <v>51</v>
      </c>
      <c r="AC86" s="3">
        <v>0</v>
      </c>
      <c r="AD86" s="3">
        <v>0.57183945800352398</v>
      </c>
      <c r="AE86" s="3" t="s">
        <v>45</v>
      </c>
      <c r="AF86" s="3">
        <v>1</v>
      </c>
      <c r="AG86" s="2"/>
      <c r="AH86" s="2"/>
      <c r="AI86" s="2"/>
      <c r="AJ86" s="2"/>
      <c r="AK86" s="3" t="s">
        <v>46</v>
      </c>
      <c r="AL86" s="3">
        <v>1</v>
      </c>
      <c r="AM86" s="3" t="s">
        <v>47</v>
      </c>
      <c r="AN86" s="3" t="s">
        <v>48</v>
      </c>
      <c r="AO86" s="2"/>
      <c r="AP86" s="3" t="s">
        <v>49</v>
      </c>
      <c r="AQ86" s="3">
        <v>121.07789498818499</v>
      </c>
      <c r="AR86" s="3" t="s">
        <v>50</v>
      </c>
    </row>
    <row r="87" spans="1:44" x14ac:dyDescent="0.2">
      <c r="A87" s="1">
        <v>84</v>
      </c>
      <c r="B87" s="3">
        <v>0</v>
      </c>
      <c r="C87" s="3">
        <v>84</v>
      </c>
      <c r="D87" s="3" t="s">
        <v>52</v>
      </c>
      <c r="E87" s="3">
        <v>1</v>
      </c>
      <c r="F87" s="3">
        <v>0.67915612499928102</v>
      </c>
      <c r="G87" s="3" t="s">
        <v>45</v>
      </c>
      <c r="H87" s="3">
        <v>4</v>
      </c>
      <c r="I87" s="3">
        <v>84</v>
      </c>
      <c r="J87" s="3">
        <v>0</v>
      </c>
      <c r="K87" s="3">
        <v>84</v>
      </c>
      <c r="L87" s="3">
        <v>0</v>
      </c>
      <c r="M87" s="3">
        <v>144.09989949999701</v>
      </c>
      <c r="N87" s="2"/>
      <c r="O87" s="2"/>
      <c r="P87" s="2"/>
      <c r="Q87" s="2"/>
      <c r="R87" s="2"/>
      <c r="S87" s="2"/>
      <c r="T87" s="2"/>
      <c r="U87" s="2"/>
      <c r="V87" s="2"/>
      <c r="W87" s="3">
        <v>144.09185720799701</v>
      </c>
      <c r="X87" s="3">
        <v>144.09989949999701</v>
      </c>
      <c r="Y87" s="3">
        <v>145.08314045800199</v>
      </c>
      <c r="Z87" s="3">
        <v>145.09143941700299</v>
      </c>
      <c r="AA87" s="3">
        <v>145.766861167001</v>
      </c>
      <c r="AB87" s="3" t="s">
        <v>52</v>
      </c>
      <c r="AC87" s="3">
        <v>1</v>
      </c>
      <c r="AD87" s="3">
        <v>0.67915612499928102</v>
      </c>
      <c r="AE87" s="3" t="s">
        <v>45</v>
      </c>
      <c r="AF87" s="3">
        <v>4</v>
      </c>
      <c r="AG87" s="2"/>
      <c r="AH87" s="2"/>
      <c r="AI87" s="2"/>
      <c r="AJ87" s="2"/>
      <c r="AK87" s="3" t="s">
        <v>46</v>
      </c>
      <c r="AL87" s="3">
        <v>1</v>
      </c>
      <c r="AM87" s="3" t="s">
        <v>47</v>
      </c>
      <c r="AN87" s="3" t="s">
        <v>48</v>
      </c>
      <c r="AO87" s="2"/>
      <c r="AP87" s="3" t="s">
        <v>49</v>
      </c>
      <c r="AQ87" s="3">
        <v>121.07789498818499</v>
      </c>
      <c r="AR87" s="3" t="s">
        <v>50</v>
      </c>
    </row>
    <row r="88" spans="1:44" x14ac:dyDescent="0.2">
      <c r="A88" s="1">
        <v>85</v>
      </c>
      <c r="B88" s="3">
        <v>0</v>
      </c>
      <c r="C88" s="3">
        <v>85</v>
      </c>
      <c r="D88" s="3" t="s">
        <v>51</v>
      </c>
      <c r="E88" s="3">
        <v>1</v>
      </c>
      <c r="F88" s="3">
        <v>0.82646866700088095</v>
      </c>
      <c r="G88" s="3" t="s">
        <v>45</v>
      </c>
      <c r="H88" s="3">
        <v>0</v>
      </c>
      <c r="I88" s="3">
        <v>85</v>
      </c>
      <c r="J88" s="3">
        <v>0</v>
      </c>
      <c r="K88" s="3">
        <v>85</v>
      </c>
      <c r="L88" s="3">
        <v>0</v>
      </c>
      <c r="M88" s="3">
        <v>145.77478666699599</v>
      </c>
      <c r="N88" s="2"/>
      <c r="O88" s="2"/>
      <c r="P88" s="2"/>
      <c r="Q88" s="2"/>
      <c r="R88" s="2"/>
      <c r="S88" s="2"/>
      <c r="T88" s="2"/>
      <c r="U88" s="2"/>
      <c r="V88" s="2"/>
      <c r="W88" s="3">
        <v>145.766922124996</v>
      </c>
      <c r="X88" s="3">
        <v>145.77478666699599</v>
      </c>
      <c r="Y88" s="3">
        <v>146.757725417003</v>
      </c>
      <c r="Z88" s="3">
        <v>146.766216582997</v>
      </c>
      <c r="AA88" s="3">
        <v>147.59173975000201</v>
      </c>
      <c r="AB88" s="3" t="s">
        <v>51</v>
      </c>
      <c r="AC88" s="3">
        <v>1</v>
      </c>
      <c r="AD88" s="3">
        <v>0.82646866700088095</v>
      </c>
      <c r="AE88" s="3" t="s">
        <v>45</v>
      </c>
      <c r="AF88" s="3">
        <v>0</v>
      </c>
      <c r="AG88" s="2"/>
      <c r="AH88" s="2"/>
      <c r="AI88" s="2"/>
      <c r="AJ88" s="2"/>
      <c r="AK88" s="3" t="s">
        <v>46</v>
      </c>
      <c r="AL88" s="3">
        <v>1</v>
      </c>
      <c r="AM88" s="3" t="s">
        <v>47</v>
      </c>
      <c r="AN88" s="3" t="s">
        <v>48</v>
      </c>
      <c r="AO88" s="2"/>
      <c r="AP88" s="3" t="s">
        <v>49</v>
      </c>
      <c r="AQ88" s="3">
        <v>121.07789498818499</v>
      </c>
      <c r="AR88" s="3" t="s">
        <v>50</v>
      </c>
    </row>
    <row r="89" spans="1:44" x14ac:dyDescent="0.2">
      <c r="A89" s="1">
        <v>86</v>
      </c>
      <c r="B89" s="3">
        <v>0</v>
      </c>
      <c r="C89" s="3">
        <v>86</v>
      </c>
      <c r="D89" s="3" t="s">
        <v>51</v>
      </c>
      <c r="E89" s="3">
        <v>1</v>
      </c>
      <c r="F89" s="3">
        <v>0.53909408400068104</v>
      </c>
      <c r="G89" s="3" t="s">
        <v>45</v>
      </c>
      <c r="H89" s="3">
        <v>0</v>
      </c>
      <c r="I89" s="3">
        <v>86</v>
      </c>
      <c r="J89" s="3">
        <v>0</v>
      </c>
      <c r="K89" s="3">
        <v>86</v>
      </c>
      <c r="L89" s="3">
        <v>0</v>
      </c>
      <c r="M89" s="3">
        <v>147.59975824999901</v>
      </c>
      <c r="N89" s="2"/>
      <c r="O89" s="2"/>
      <c r="P89" s="2"/>
      <c r="Q89" s="2"/>
      <c r="R89" s="2"/>
      <c r="S89" s="2"/>
      <c r="T89" s="2"/>
      <c r="U89" s="2"/>
      <c r="V89" s="2"/>
      <c r="W89" s="3">
        <v>147.591800374998</v>
      </c>
      <c r="X89" s="3">
        <v>147.59975824999901</v>
      </c>
      <c r="Y89" s="3">
        <v>148.58305995800001</v>
      </c>
      <c r="Z89" s="3">
        <v>148.59141045800101</v>
      </c>
      <c r="AA89" s="3">
        <v>149.125078124998</v>
      </c>
      <c r="AB89" s="3" t="s">
        <v>51</v>
      </c>
      <c r="AC89" s="3">
        <v>1</v>
      </c>
      <c r="AD89" s="3">
        <v>0.53909408400068104</v>
      </c>
      <c r="AE89" s="3" t="s">
        <v>45</v>
      </c>
      <c r="AF89" s="3">
        <v>0</v>
      </c>
      <c r="AG89" s="2"/>
      <c r="AH89" s="2"/>
      <c r="AI89" s="2"/>
      <c r="AJ89" s="2"/>
      <c r="AK89" s="3" t="s">
        <v>46</v>
      </c>
      <c r="AL89" s="3">
        <v>1</v>
      </c>
      <c r="AM89" s="3" t="s">
        <v>47</v>
      </c>
      <c r="AN89" s="3" t="s">
        <v>48</v>
      </c>
      <c r="AO89" s="2"/>
      <c r="AP89" s="3" t="s">
        <v>49</v>
      </c>
      <c r="AQ89" s="3">
        <v>121.07789498818499</v>
      </c>
      <c r="AR89" s="3" t="s">
        <v>50</v>
      </c>
    </row>
    <row r="90" spans="1:44" x14ac:dyDescent="0.2">
      <c r="A90" s="1">
        <v>87</v>
      </c>
      <c r="B90" s="3">
        <v>0</v>
      </c>
      <c r="C90" s="3">
        <v>87</v>
      </c>
      <c r="D90" s="3" t="s">
        <v>52</v>
      </c>
      <c r="E90" s="3">
        <v>1</v>
      </c>
      <c r="F90" s="3">
        <v>0.56259712500468595</v>
      </c>
      <c r="G90" s="3" t="s">
        <v>45</v>
      </c>
      <c r="H90" s="3">
        <v>-3</v>
      </c>
      <c r="I90" s="3">
        <v>87</v>
      </c>
      <c r="J90" s="3">
        <v>0</v>
      </c>
      <c r="K90" s="3">
        <v>87</v>
      </c>
      <c r="L90" s="3">
        <v>0</v>
      </c>
      <c r="M90" s="3">
        <v>149.13304516700001</v>
      </c>
      <c r="N90" s="2"/>
      <c r="O90" s="2"/>
      <c r="P90" s="2"/>
      <c r="Q90" s="2"/>
      <c r="R90" s="2"/>
      <c r="S90" s="2"/>
      <c r="T90" s="2"/>
      <c r="U90" s="2"/>
      <c r="V90" s="2"/>
      <c r="W90" s="3">
        <v>149.125149542</v>
      </c>
      <c r="X90" s="3">
        <v>149.13304516700001</v>
      </c>
      <c r="Y90" s="3">
        <v>150.11649362499901</v>
      </c>
      <c r="Z90" s="3">
        <v>150.124779416998</v>
      </c>
      <c r="AA90" s="3">
        <v>150.68313016700299</v>
      </c>
      <c r="AB90" s="3" t="s">
        <v>52</v>
      </c>
      <c r="AC90" s="3">
        <v>1</v>
      </c>
      <c r="AD90" s="3">
        <v>0.56259712500468595</v>
      </c>
      <c r="AE90" s="3" t="s">
        <v>45</v>
      </c>
      <c r="AF90" s="3">
        <v>-3</v>
      </c>
      <c r="AG90" s="2"/>
      <c r="AH90" s="2"/>
      <c r="AI90" s="2"/>
      <c r="AJ90" s="2"/>
      <c r="AK90" s="3" t="s">
        <v>46</v>
      </c>
      <c r="AL90" s="3">
        <v>1</v>
      </c>
      <c r="AM90" s="3" t="s">
        <v>47</v>
      </c>
      <c r="AN90" s="3" t="s">
        <v>48</v>
      </c>
      <c r="AO90" s="2"/>
      <c r="AP90" s="3" t="s">
        <v>49</v>
      </c>
      <c r="AQ90" s="3">
        <v>121.07789498818499</v>
      </c>
      <c r="AR90" s="3" t="s">
        <v>50</v>
      </c>
    </row>
    <row r="91" spans="1:44" x14ac:dyDescent="0.2">
      <c r="A91" s="1">
        <v>88</v>
      </c>
      <c r="B91" s="3">
        <v>0</v>
      </c>
      <c r="C91" s="3">
        <v>88</v>
      </c>
      <c r="D91" s="3" t="s">
        <v>51</v>
      </c>
      <c r="E91" s="3">
        <v>1</v>
      </c>
      <c r="F91" s="3">
        <v>0.77239058299892405</v>
      </c>
      <c r="G91" s="3" t="s">
        <v>45</v>
      </c>
      <c r="H91" s="3">
        <v>0</v>
      </c>
      <c r="I91" s="3">
        <v>88</v>
      </c>
      <c r="J91" s="3">
        <v>0</v>
      </c>
      <c r="K91" s="3">
        <v>88</v>
      </c>
      <c r="L91" s="3">
        <v>0</v>
      </c>
      <c r="M91" s="3">
        <v>150.691402999997</v>
      </c>
      <c r="N91" s="2"/>
      <c r="O91" s="2"/>
      <c r="P91" s="2"/>
      <c r="Q91" s="2"/>
      <c r="R91" s="2"/>
      <c r="S91" s="2"/>
      <c r="T91" s="2"/>
      <c r="U91" s="2"/>
      <c r="V91" s="2"/>
      <c r="W91" s="3">
        <v>150.683188541996</v>
      </c>
      <c r="X91" s="3">
        <v>150.691402999997</v>
      </c>
      <c r="Y91" s="3">
        <v>151.67463283299699</v>
      </c>
      <c r="Z91" s="3">
        <v>151.683033166999</v>
      </c>
      <c r="AA91" s="3">
        <v>152.44984549999899</v>
      </c>
      <c r="AB91" s="3" t="s">
        <v>51</v>
      </c>
      <c r="AC91" s="3">
        <v>1</v>
      </c>
      <c r="AD91" s="3">
        <v>0.77239058299892405</v>
      </c>
      <c r="AE91" s="3" t="s">
        <v>45</v>
      </c>
      <c r="AF91" s="3">
        <v>0</v>
      </c>
      <c r="AG91" s="2"/>
      <c r="AH91" s="2"/>
      <c r="AI91" s="2"/>
      <c r="AJ91" s="2"/>
      <c r="AK91" s="3" t="s">
        <v>46</v>
      </c>
      <c r="AL91" s="3">
        <v>1</v>
      </c>
      <c r="AM91" s="3" t="s">
        <v>47</v>
      </c>
      <c r="AN91" s="3" t="s">
        <v>48</v>
      </c>
      <c r="AO91" s="2"/>
      <c r="AP91" s="3" t="s">
        <v>49</v>
      </c>
      <c r="AQ91" s="3">
        <v>121.07789498818499</v>
      </c>
      <c r="AR91" s="3" t="s">
        <v>50</v>
      </c>
    </row>
    <row r="92" spans="1:44" x14ac:dyDescent="0.2">
      <c r="A92" s="1">
        <v>89</v>
      </c>
      <c r="B92" s="3">
        <v>0</v>
      </c>
      <c r="C92" s="3">
        <v>89</v>
      </c>
      <c r="D92" s="3" t="s">
        <v>51</v>
      </c>
      <c r="E92" s="3">
        <v>1</v>
      </c>
      <c r="F92" s="3">
        <v>0.55861304099380504</v>
      </c>
      <c r="G92" s="3" t="s">
        <v>45</v>
      </c>
      <c r="H92" s="3">
        <v>0</v>
      </c>
      <c r="I92" s="3">
        <v>89</v>
      </c>
      <c r="J92" s="3">
        <v>0</v>
      </c>
      <c r="K92" s="3">
        <v>89</v>
      </c>
      <c r="L92" s="3">
        <v>0</v>
      </c>
      <c r="M92" s="3">
        <v>152.45788475000199</v>
      </c>
      <c r="N92" s="2"/>
      <c r="O92" s="2"/>
      <c r="P92" s="2"/>
      <c r="Q92" s="2"/>
      <c r="R92" s="2"/>
      <c r="S92" s="2"/>
      <c r="T92" s="2"/>
      <c r="U92" s="2"/>
      <c r="V92" s="2"/>
      <c r="W92" s="3">
        <v>152.44991108299999</v>
      </c>
      <c r="X92" s="3">
        <v>152.45788475000199</v>
      </c>
      <c r="Y92" s="3">
        <v>153.44133333300101</v>
      </c>
      <c r="Z92" s="3">
        <v>153.44975487500099</v>
      </c>
      <c r="AA92" s="3">
        <v>154.00786766700199</v>
      </c>
      <c r="AB92" s="3" t="s">
        <v>51</v>
      </c>
      <c r="AC92" s="3">
        <v>1</v>
      </c>
      <c r="AD92" s="3">
        <v>0.55861304099380504</v>
      </c>
      <c r="AE92" s="3" t="s">
        <v>45</v>
      </c>
      <c r="AF92" s="3">
        <v>0</v>
      </c>
      <c r="AG92" s="2"/>
      <c r="AH92" s="2"/>
      <c r="AI92" s="2"/>
      <c r="AJ92" s="2"/>
      <c r="AK92" s="3" t="s">
        <v>46</v>
      </c>
      <c r="AL92" s="3">
        <v>1</v>
      </c>
      <c r="AM92" s="3" t="s">
        <v>47</v>
      </c>
      <c r="AN92" s="3" t="s">
        <v>48</v>
      </c>
      <c r="AO92" s="2"/>
      <c r="AP92" s="3" t="s">
        <v>49</v>
      </c>
      <c r="AQ92" s="3">
        <v>121.07789498818499</v>
      </c>
      <c r="AR92" s="3" t="s">
        <v>50</v>
      </c>
    </row>
    <row r="93" spans="1:44" x14ac:dyDescent="0.2">
      <c r="A93" s="1">
        <v>90</v>
      </c>
      <c r="B93" s="3">
        <v>0</v>
      </c>
      <c r="C93" s="3">
        <v>90</v>
      </c>
      <c r="D93" s="3" t="s">
        <v>51</v>
      </c>
      <c r="E93" s="3">
        <v>1</v>
      </c>
      <c r="F93" s="3">
        <v>0.45526300000346998</v>
      </c>
      <c r="G93" s="3" t="s">
        <v>45</v>
      </c>
      <c r="H93" s="3">
        <v>0</v>
      </c>
      <c r="I93" s="3">
        <v>90</v>
      </c>
      <c r="J93" s="3">
        <v>0</v>
      </c>
      <c r="K93" s="3">
        <v>90</v>
      </c>
      <c r="L93" s="3">
        <v>0</v>
      </c>
      <c r="M93" s="3">
        <v>154.01608899999701</v>
      </c>
      <c r="N93" s="2"/>
      <c r="O93" s="2"/>
      <c r="P93" s="2"/>
      <c r="Q93" s="2"/>
      <c r="R93" s="2"/>
      <c r="S93" s="2"/>
      <c r="T93" s="2"/>
      <c r="U93" s="2"/>
      <c r="V93" s="2"/>
      <c r="W93" s="3">
        <v>154.00792687499799</v>
      </c>
      <c r="X93" s="3">
        <v>154.01608899999701</v>
      </c>
      <c r="Y93" s="3">
        <v>154.99965158299901</v>
      </c>
      <c r="Z93" s="3">
        <v>155.00803266700001</v>
      </c>
      <c r="AA93" s="3">
        <v>155.45819350000201</v>
      </c>
      <c r="AB93" s="3" t="s">
        <v>51</v>
      </c>
      <c r="AC93" s="3">
        <v>1</v>
      </c>
      <c r="AD93" s="3">
        <v>0.45526300000346998</v>
      </c>
      <c r="AE93" s="3" t="s">
        <v>45</v>
      </c>
      <c r="AF93" s="3">
        <v>0</v>
      </c>
      <c r="AG93" s="2"/>
      <c r="AH93" s="2"/>
      <c r="AI93" s="2"/>
      <c r="AJ93" s="2"/>
      <c r="AK93" s="3" t="s">
        <v>46</v>
      </c>
      <c r="AL93" s="3">
        <v>1</v>
      </c>
      <c r="AM93" s="3" t="s">
        <v>47</v>
      </c>
      <c r="AN93" s="3" t="s">
        <v>48</v>
      </c>
      <c r="AO93" s="2"/>
      <c r="AP93" s="3" t="s">
        <v>49</v>
      </c>
      <c r="AQ93" s="3">
        <v>121.07789498818499</v>
      </c>
      <c r="AR93" s="3" t="s">
        <v>50</v>
      </c>
    </row>
    <row r="94" spans="1:44" x14ac:dyDescent="0.2">
      <c r="A94" s="1">
        <v>91</v>
      </c>
      <c r="B94" s="3">
        <v>0</v>
      </c>
      <c r="C94" s="3">
        <v>91</v>
      </c>
      <c r="D94" s="3" t="s">
        <v>51</v>
      </c>
      <c r="E94" s="3">
        <v>1</v>
      </c>
      <c r="F94" s="3">
        <v>0.44417695899755899</v>
      </c>
      <c r="G94" s="3" t="s">
        <v>45</v>
      </c>
      <c r="H94" s="3">
        <v>0</v>
      </c>
      <c r="I94" s="3">
        <v>91</v>
      </c>
      <c r="J94" s="3">
        <v>0</v>
      </c>
      <c r="K94" s="3">
        <v>91</v>
      </c>
      <c r="L94" s="3">
        <v>0</v>
      </c>
      <c r="M94" s="3">
        <v>155.46633341699601</v>
      </c>
      <c r="N94" s="2"/>
      <c r="O94" s="2"/>
      <c r="P94" s="2"/>
      <c r="Q94" s="2"/>
      <c r="R94" s="2"/>
      <c r="S94" s="2"/>
      <c r="T94" s="2"/>
      <c r="U94" s="2"/>
      <c r="V94" s="2"/>
      <c r="W94" s="3">
        <v>155.458251832999</v>
      </c>
      <c r="X94" s="3">
        <v>155.46633341699601</v>
      </c>
      <c r="Y94" s="3">
        <v>156.44967716700199</v>
      </c>
      <c r="Z94" s="3">
        <v>156.45802620799799</v>
      </c>
      <c r="AA94" s="3">
        <v>156.89967170800099</v>
      </c>
      <c r="AB94" s="3" t="s">
        <v>51</v>
      </c>
      <c r="AC94" s="3">
        <v>1</v>
      </c>
      <c r="AD94" s="3">
        <v>0.44417695899755899</v>
      </c>
      <c r="AE94" s="3" t="s">
        <v>45</v>
      </c>
      <c r="AF94" s="3">
        <v>0</v>
      </c>
      <c r="AG94" s="2"/>
      <c r="AH94" s="2"/>
      <c r="AI94" s="2"/>
      <c r="AJ94" s="2"/>
      <c r="AK94" s="3" t="s">
        <v>46</v>
      </c>
      <c r="AL94" s="3">
        <v>1</v>
      </c>
      <c r="AM94" s="3" t="s">
        <v>47</v>
      </c>
      <c r="AN94" s="3" t="s">
        <v>48</v>
      </c>
      <c r="AO94" s="2"/>
      <c r="AP94" s="3" t="s">
        <v>49</v>
      </c>
      <c r="AQ94" s="3">
        <v>121.07789498818499</v>
      </c>
      <c r="AR94" s="3" t="s">
        <v>50</v>
      </c>
    </row>
    <row r="95" spans="1:44" x14ac:dyDescent="0.2">
      <c r="A95" s="1">
        <v>92</v>
      </c>
      <c r="B95" s="3">
        <v>0</v>
      </c>
      <c r="C95" s="3">
        <v>92</v>
      </c>
      <c r="D95" s="3" t="s">
        <v>52</v>
      </c>
      <c r="E95" s="3">
        <v>1</v>
      </c>
      <c r="F95" s="3">
        <v>0.41907066699786799</v>
      </c>
      <c r="G95" s="3" t="s">
        <v>45</v>
      </c>
      <c r="H95" s="3">
        <v>-4</v>
      </c>
      <c r="I95" s="3">
        <v>92</v>
      </c>
      <c r="J95" s="3">
        <v>0</v>
      </c>
      <c r="K95" s="3">
        <v>92</v>
      </c>
      <c r="L95" s="3">
        <v>0</v>
      </c>
      <c r="M95" s="3">
        <v>156.90756516699901</v>
      </c>
      <c r="N95" s="2"/>
      <c r="O95" s="2"/>
      <c r="P95" s="2"/>
      <c r="Q95" s="2"/>
      <c r="R95" s="2"/>
      <c r="S95" s="2"/>
      <c r="T95" s="2"/>
      <c r="U95" s="2"/>
      <c r="V95" s="2"/>
      <c r="W95" s="3">
        <v>156.89975108300101</v>
      </c>
      <c r="X95" s="3">
        <v>156.90756516699901</v>
      </c>
      <c r="Y95" s="3">
        <v>157.890733875</v>
      </c>
      <c r="Z95" s="3">
        <v>157.89904295800099</v>
      </c>
      <c r="AA95" s="3">
        <v>158.31654008299699</v>
      </c>
      <c r="AB95" s="3" t="s">
        <v>52</v>
      </c>
      <c r="AC95" s="3">
        <v>1</v>
      </c>
      <c r="AD95" s="3">
        <v>0.41907066699786799</v>
      </c>
      <c r="AE95" s="3" t="s">
        <v>45</v>
      </c>
      <c r="AF95" s="3">
        <v>-4</v>
      </c>
      <c r="AG95" s="2"/>
      <c r="AH95" s="2"/>
      <c r="AI95" s="2"/>
      <c r="AJ95" s="2"/>
      <c r="AK95" s="3" t="s">
        <v>46</v>
      </c>
      <c r="AL95" s="3">
        <v>1</v>
      </c>
      <c r="AM95" s="3" t="s">
        <v>47</v>
      </c>
      <c r="AN95" s="3" t="s">
        <v>48</v>
      </c>
      <c r="AO95" s="2"/>
      <c r="AP95" s="3" t="s">
        <v>49</v>
      </c>
      <c r="AQ95" s="3">
        <v>121.07789498818499</v>
      </c>
      <c r="AR95" s="3" t="s">
        <v>50</v>
      </c>
    </row>
    <row r="96" spans="1:44" x14ac:dyDescent="0.2">
      <c r="A96" s="1">
        <v>93</v>
      </c>
      <c r="B96" s="3">
        <v>0</v>
      </c>
      <c r="C96" s="3">
        <v>93</v>
      </c>
      <c r="D96" s="3" t="s">
        <v>51</v>
      </c>
      <c r="E96" s="3">
        <v>1</v>
      </c>
      <c r="F96" s="3">
        <v>0.61778445899835799</v>
      </c>
      <c r="G96" s="3" t="s">
        <v>45</v>
      </c>
      <c r="H96" s="3">
        <v>0</v>
      </c>
      <c r="I96" s="3">
        <v>93</v>
      </c>
      <c r="J96" s="3">
        <v>0</v>
      </c>
      <c r="K96" s="3">
        <v>93</v>
      </c>
      <c r="L96" s="3">
        <v>0</v>
      </c>
      <c r="M96" s="3">
        <v>158.32432204199699</v>
      </c>
      <c r="N96" s="2"/>
      <c r="O96" s="2"/>
      <c r="P96" s="2"/>
      <c r="Q96" s="2"/>
      <c r="R96" s="2"/>
      <c r="S96" s="2"/>
      <c r="T96" s="2"/>
      <c r="U96" s="2"/>
      <c r="V96" s="2"/>
      <c r="W96" s="3">
        <v>158.316598457997</v>
      </c>
      <c r="X96" s="3">
        <v>158.32432204199699</v>
      </c>
      <c r="Y96" s="3">
        <v>159.30795316700099</v>
      </c>
      <c r="Z96" s="3">
        <v>159.31632612500101</v>
      </c>
      <c r="AA96" s="3">
        <v>159.933064625002</v>
      </c>
      <c r="AB96" s="3" t="s">
        <v>51</v>
      </c>
      <c r="AC96" s="3">
        <v>1</v>
      </c>
      <c r="AD96" s="3">
        <v>0.61778445899835799</v>
      </c>
      <c r="AE96" s="3" t="s">
        <v>45</v>
      </c>
      <c r="AF96" s="3">
        <v>0</v>
      </c>
      <c r="AG96" s="2"/>
      <c r="AH96" s="2"/>
      <c r="AI96" s="2"/>
      <c r="AJ96" s="2"/>
      <c r="AK96" s="3" t="s">
        <v>46</v>
      </c>
      <c r="AL96" s="3">
        <v>1</v>
      </c>
      <c r="AM96" s="3" t="s">
        <v>47</v>
      </c>
      <c r="AN96" s="3" t="s">
        <v>48</v>
      </c>
      <c r="AO96" s="2"/>
      <c r="AP96" s="3" t="s">
        <v>49</v>
      </c>
      <c r="AQ96" s="3">
        <v>121.07789498818499</v>
      </c>
      <c r="AR96" s="3" t="s">
        <v>50</v>
      </c>
    </row>
    <row r="97" spans="1:44" x14ac:dyDescent="0.2">
      <c r="A97" s="1">
        <v>94</v>
      </c>
      <c r="B97" s="3">
        <v>0</v>
      </c>
      <c r="C97" s="3">
        <v>94</v>
      </c>
      <c r="D97" s="3" t="s">
        <v>52</v>
      </c>
      <c r="E97" s="3">
        <v>1</v>
      </c>
      <c r="F97" s="3">
        <v>0.71013741599745095</v>
      </c>
      <c r="G97" s="3" t="s">
        <v>45</v>
      </c>
      <c r="H97" s="3">
        <v>-4</v>
      </c>
      <c r="I97" s="3">
        <v>94</v>
      </c>
      <c r="J97" s="3">
        <v>0</v>
      </c>
      <c r="K97" s="3">
        <v>94</v>
      </c>
      <c r="L97" s="3">
        <v>0</v>
      </c>
      <c r="M97" s="3">
        <v>159.94124395799699</v>
      </c>
      <c r="N97" s="2"/>
      <c r="O97" s="2"/>
      <c r="P97" s="2"/>
      <c r="Q97" s="2"/>
      <c r="R97" s="2"/>
      <c r="S97" s="2"/>
      <c r="T97" s="2"/>
      <c r="U97" s="2"/>
      <c r="V97" s="2"/>
      <c r="W97" s="3">
        <v>159.93313429199799</v>
      </c>
      <c r="X97" s="3">
        <v>159.94124395799699</v>
      </c>
      <c r="Y97" s="3">
        <v>160.92452862500099</v>
      </c>
      <c r="Z97" s="3">
        <v>160.93292195800299</v>
      </c>
      <c r="AA97" s="3">
        <v>161.64117049999899</v>
      </c>
      <c r="AB97" s="3" t="s">
        <v>52</v>
      </c>
      <c r="AC97" s="3">
        <v>1</v>
      </c>
      <c r="AD97" s="3">
        <v>0.71013741599745095</v>
      </c>
      <c r="AE97" s="3" t="s">
        <v>45</v>
      </c>
      <c r="AF97" s="3">
        <v>-4</v>
      </c>
      <c r="AG97" s="2"/>
      <c r="AH97" s="2"/>
      <c r="AI97" s="2"/>
      <c r="AJ97" s="2"/>
      <c r="AK97" s="3" t="s">
        <v>46</v>
      </c>
      <c r="AL97" s="3">
        <v>1</v>
      </c>
      <c r="AM97" s="3" t="s">
        <v>47</v>
      </c>
      <c r="AN97" s="3" t="s">
        <v>48</v>
      </c>
      <c r="AO97" s="2"/>
      <c r="AP97" s="3" t="s">
        <v>49</v>
      </c>
      <c r="AQ97" s="3">
        <v>121.07789498818499</v>
      </c>
      <c r="AR97" s="3" t="s">
        <v>50</v>
      </c>
    </row>
    <row r="98" spans="1:44" x14ac:dyDescent="0.2">
      <c r="A98" s="1">
        <v>95</v>
      </c>
      <c r="B98" s="3">
        <v>0</v>
      </c>
      <c r="C98" s="3">
        <v>95</v>
      </c>
      <c r="D98" s="3" t="s">
        <v>52</v>
      </c>
      <c r="E98" s="3">
        <v>1</v>
      </c>
      <c r="F98" s="3">
        <v>0.64260937499784598</v>
      </c>
      <c r="G98" s="3" t="s">
        <v>45</v>
      </c>
      <c r="H98" s="3">
        <v>-4</v>
      </c>
      <c r="I98" s="3">
        <v>95</v>
      </c>
      <c r="J98" s="3">
        <v>0</v>
      </c>
      <c r="K98" s="3">
        <v>95</v>
      </c>
      <c r="L98" s="3">
        <v>0</v>
      </c>
      <c r="M98" s="3">
        <v>161.64963924999799</v>
      </c>
      <c r="N98" s="2"/>
      <c r="O98" s="2"/>
      <c r="P98" s="2"/>
      <c r="Q98" s="2"/>
      <c r="R98" s="2"/>
      <c r="S98" s="2"/>
      <c r="T98" s="2"/>
      <c r="U98" s="2"/>
      <c r="V98" s="2"/>
      <c r="W98" s="3">
        <v>161.64124175000299</v>
      </c>
      <c r="X98" s="3">
        <v>161.64963924999799</v>
      </c>
      <c r="Y98" s="3">
        <v>162.63296675000299</v>
      </c>
      <c r="Z98" s="3">
        <v>162.640545542003</v>
      </c>
      <c r="AA98" s="3">
        <v>163.28312204199801</v>
      </c>
      <c r="AB98" s="3" t="s">
        <v>52</v>
      </c>
      <c r="AC98" s="3">
        <v>1</v>
      </c>
      <c r="AD98" s="3">
        <v>0.64260937499784598</v>
      </c>
      <c r="AE98" s="3" t="s">
        <v>45</v>
      </c>
      <c r="AF98" s="3">
        <v>-4</v>
      </c>
      <c r="AG98" s="2"/>
      <c r="AH98" s="2"/>
      <c r="AI98" s="2"/>
      <c r="AJ98" s="2"/>
      <c r="AK98" s="3" t="s">
        <v>46</v>
      </c>
      <c r="AL98" s="3">
        <v>1</v>
      </c>
      <c r="AM98" s="3" t="s">
        <v>47</v>
      </c>
      <c r="AN98" s="3" t="s">
        <v>48</v>
      </c>
      <c r="AO98" s="2"/>
      <c r="AP98" s="3" t="s">
        <v>49</v>
      </c>
      <c r="AQ98" s="3">
        <v>121.07789498818499</v>
      </c>
      <c r="AR98" s="3" t="s">
        <v>50</v>
      </c>
    </row>
    <row r="99" spans="1:44" x14ac:dyDescent="0.2">
      <c r="A99" s="1">
        <v>96</v>
      </c>
      <c r="B99" s="3">
        <v>0</v>
      </c>
      <c r="C99" s="3">
        <v>96</v>
      </c>
      <c r="D99" s="3" t="s">
        <v>52</v>
      </c>
      <c r="E99" s="3">
        <v>1</v>
      </c>
      <c r="F99" s="3">
        <v>0.53000037500169095</v>
      </c>
      <c r="G99" s="3" t="s">
        <v>45</v>
      </c>
      <c r="H99" s="3">
        <v>4</v>
      </c>
      <c r="I99" s="3">
        <v>96</v>
      </c>
      <c r="J99" s="3">
        <v>0</v>
      </c>
      <c r="K99" s="3">
        <v>96</v>
      </c>
      <c r="L99" s="3">
        <v>0</v>
      </c>
      <c r="M99" s="3">
        <v>163.29095108300001</v>
      </c>
      <c r="N99" s="2"/>
      <c r="O99" s="2"/>
      <c r="P99" s="2"/>
      <c r="Q99" s="2"/>
      <c r="R99" s="2"/>
      <c r="S99" s="2"/>
      <c r="T99" s="2"/>
      <c r="U99" s="2"/>
      <c r="V99" s="2"/>
      <c r="W99" s="3">
        <v>163.283187708003</v>
      </c>
      <c r="X99" s="3">
        <v>163.29095108300001</v>
      </c>
      <c r="Y99" s="3">
        <v>164.274556791999</v>
      </c>
      <c r="Z99" s="3">
        <v>164.28255708300301</v>
      </c>
      <c r="AA99" s="3">
        <v>164.808184082998</v>
      </c>
      <c r="AB99" s="3" t="s">
        <v>52</v>
      </c>
      <c r="AC99" s="3">
        <v>1</v>
      </c>
      <c r="AD99" s="3">
        <v>0.53000037500169095</v>
      </c>
      <c r="AE99" s="3" t="s">
        <v>45</v>
      </c>
      <c r="AF99" s="3">
        <v>4</v>
      </c>
      <c r="AG99" s="2"/>
      <c r="AH99" s="2"/>
      <c r="AI99" s="2"/>
      <c r="AJ99" s="2"/>
      <c r="AK99" s="3" t="s">
        <v>46</v>
      </c>
      <c r="AL99" s="3">
        <v>1</v>
      </c>
      <c r="AM99" s="3" t="s">
        <v>47</v>
      </c>
      <c r="AN99" s="3" t="s">
        <v>48</v>
      </c>
      <c r="AO99" s="2"/>
      <c r="AP99" s="3" t="s">
        <v>49</v>
      </c>
      <c r="AQ99" s="3">
        <v>121.07789498818499</v>
      </c>
      <c r="AR99" s="3" t="s">
        <v>50</v>
      </c>
    </row>
    <row r="100" spans="1:44" x14ac:dyDescent="0.2">
      <c r="A100" s="1">
        <v>97</v>
      </c>
      <c r="B100" s="3">
        <v>0</v>
      </c>
      <c r="C100" s="3">
        <v>97</v>
      </c>
      <c r="D100" s="3" t="s">
        <v>51</v>
      </c>
      <c r="E100" s="3">
        <v>1</v>
      </c>
      <c r="F100" s="3">
        <v>0.52336958299565595</v>
      </c>
      <c r="G100" s="3" t="s">
        <v>45</v>
      </c>
      <c r="H100" s="3">
        <v>0</v>
      </c>
      <c r="I100" s="3">
        <v>97</v>
      </c>
      <c r="J100" s="3">
        <v>0</v>
      </c>
      <c r="K100" s="3">
        <v>97</v>
      </c>
      <c r="L100" s="3">
        <v>0</v>
      </c>
      <c r="M100" s="3">
        <v>164.81622683299801</v>
      </c>
      <c r="N100" s="2"/>
      <c r="O100" s="2"/>
      <c r="P100" s="2"/>
      <c r="Q100" s="2"/>
      <c r="R100" s="2"/>
      <c r="S100" s="2"/>
      <c r="T100" s="2"/>
      <c r="U100" s="2"/>
      <c r="V100" s="2"/>
      <c r="W100" s="3">
        <v>164.808241250001</v>
      </c>
      <c r="X100" s="3">
        <v>164.81622683299801</v>
      </c>
      <c r="Y100" s="3">
        <v>165.79912612499899</v>
      </c>
      <c r="Z100" s="3">
        <v>165.80763166699799</v>
      </c>
      <c r="AA100" s="3">
        <v>166.32457054199801</v>
      </c>
      <c r="AB100" s="3" t="s">
        <v>51</v>
      </c>
      <c r="AC100" s="3">
        <v>1</v>
      </c>
      <c r="AD100" s="3">
        <v>0.52336958299565595</v>
      </c>
      <c r="AE100" s="3" t="s">
        <v>45</v>
      </c>
      <c r="AF100" s="3">
        <v>0</v>
      </c>
      <c r="AG100" s="2"/>
      <c r="AH100" s="2"/>
      <c r="AI100" s="2"/>
      <c r="AJ100" s="2"/>
      <c r="AK100" s="3" t="s">
        <v>46</v>
      </c>
      <c r="AL100" s="3">
        <v>1</v>
      </c>
      <c r="AM100" s="3" t="s">
        <v>47</v>
      </c>
      <c r="AN100" s="3" t="s">
        <v>48</v>
      </c>
      <c r="AO100" s="2"/>
      <c r="AP100" s="3" t="s">
        <v>49</v>
      </c>
      <c r="AQ100" s="3">
        <v>121.07789498818499</v>
      </c>
      <c r="AR100" s="3" t="s">
        <v>50</v>
      </c>
    </row>
    <row r="101" spans="1:44" x14ac:dyDescent="0.2">
      <c r="A101" s="1">
        <v>98</v>
      </c>
      <c r="B101" s="3">
        <v>0</v>
      </c>
      <c r="C101" s="3">
        <v>98</v>
      </c>
      <c r="D101" s="3" t="s">
        <v>52</v>
      </c>
      <c r="E101" s="3">
        <v>1</v>
      </c>
      <c r="F101" s="3">
        <v>0.60432954200223299</v>
      </c>
      <c r="G101" s="3" t="s">
        <v>45</v>
      </c>
      <c r="H101" s="3">
        <v>-3</v>
      </c>
      <c r="I101" s="3">
        <v>98</v>
      </c>
      <c r="J101" s="3">
        <v>0</v>
      </c>
      <c r="K101" s="3">
        <v>98</v>
      </c>
      <c r="L101" s="3">
        <v>0</v>
      </c>
      <c r="M101" s="3">
        <v>166.332531291999</v>
      </c>
      <c r="N101" s="2"/>
      <c r="O101" s="2"/>
      <c r="P101" s="2"/>
      <c r="Q101" s="2"/>
      <c r="R101" s="2"/>
      <c r="S101" s="2"/>
      <c r="T101" s="2"/>
      <c r="U101" s="2"/>
      <c r="V101" s="2"/>
      <c r="W101" s="3">
        <v>166.32463262500099</v>
      </c>
      <c r="X101" s="3">
        <v>166.332531291999</v>
      </c>
      <c r="Y101" s="3">
        <v>167.31610874999799</v>
      </c>
      <c r="Z101" s="3">
        <v>167.32452995800099</v>
      </c>
      <c r="AA101" s="3">
        <v>167.92485537499999</v>
      </c>
      <c r="AB101" s="3" t="s">
        <v>52</v>
      </c>
      <c r="AC101" s="3">
        <v>1</v>
      </c>
      <c r="AD101" s="3">
        <v>0.60432954200223299</v>
      </c>
      <c r="AE101" s="3" t="s">
        <v>45</v>
      </c>
      <c r="AF101" s="3">
        <v>-3</v>
      </c>
      <c r="AG101" s="2"/>
      <c r="AH101" s="2"/>
      <c r="AI101" s="2"/>
      <c r="AJ101" s="2"/>
      <c r="AK101" s="3" t="s">
        <v>46</v>
      </c>
      <c r="AL101" s="3">
        <v>1</v>
      </c>
      <c r="AM101" s="3" t="s">
        <v>47</v>
      </c>
      <c r="AN101" s="3" t="s">
        <v>48</v>
      </c>
      <c r="AO101" s="2"/>
      <c r="AP101" s="3" t="s">
        <v>49</v>
      </c>
      <c r="AQ101" s="3">
        <v>121.07789498818499</v>
      </c>
      <c r="AR101" s="3" t="s">
        <v>50</v>
      </c>
    </row>
    <row r="102" spans="1:44" x14ac:dyDescent="0.2">
      <c r="A102" s="1">
        <v>99</v>
      </c>
      <c r="B102" s="3">
        <v>0</v>
      </c>
      <c r="C102" s="3">
        <v>99</v>
      </c>
      <c r="D102" s="3" t="s">
        <v>51</v>
      </c>
      <c r="E102" s="3">
        <v>1</v>
      </c>
      <c r="F102" s="3">
        <v>0.58322116699855497</v>
      </c>
      <c r="G102" s="3" t="s">
        <v>45</v>
      </c>
      <c r="H102" s="3">
        <v>0</v>
      </c>
      <c r="I102" s="3">
        <v>99</v>
      </c>
      <c r="J102" s="3">
        <v>0</v>
      </c>
      <c r="K102" s="3">
        <v>99</v>
      </c>
      <c r="L102" s="3">
        <v>0</v>
      </c>
      <c r="M102" s="3">
        <v>167.93278124999799</v>
      </c>
      <c r="N102" s="2"/>
      <c r="O102" s="2"/>
      <c r="P102" s="2"/>
      <c r="Q102" s="2"/>
      <c r="R102" s="2"/>
      <c r="S102" s="2"/>
      <c r="T102" s="2"/>
      <c r="U102" s="2"/>
      <c r="V102" s="2"/>
      <c r="W102" s="3">
        <v>167.92491304199899</v>
      </c>
      <c r="X102" s="3">
        <v>167.93278124999799</v>
      </c>
      <c r="Y102" s="3">
        <v>168.91621395799999</v>
      </c>
      <c r="Z102" s="3">
        <v>168.92443379200299</v>
      </c>
      <c r="AA102" s="3">
        <v>169.499719792002</v>
      </c>
      <c r="AB102" s="3" t="s">
        <v>51</v>
      </c>
      <c r="AC102" s="3">
        <v>1</v>
      </c>
      <c r="AD102" s="3">
        <v>0.58322116699855497</v>
      </c>
      <c r="AE102" s="3" t="s">
        <v>45</v>
      </c>
      <c r="AF102" s="3">
        <v>0</v>
      </c>
      <c r="AG102" s="2"/>
      <c r="AH102" s="2"/>
      <c r="AI102" s="2"/>
      <c r="AJ102" s="2"/>
      <c r="AK102" s="3" t="s">
        <v>46</v>
      </c>
      <c r="AL102" s="3">
        <v>1</v>
      </c>
      <c r="AM102" s="3" t="s">
        <v>47</v>
      </c>
      <c r="AN102" s="3" t="s">
        <v>48</v>
      </c>
      <c r="AO102" s="2"/>
      <c r="AP102" s="3" t="s">
        <v>49</v>
      </c>
      <c r="AQ102" s="3">
        <v>121.07789498818499</v>
      </c>
      <c r="AR102" s="3" t="s">
        <v>50</v>
      </c>
    </row>
    <row r="103" spans="1:44" x14ac:dyDescent="0.2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3">
        <v>169.499756416997</v>
      </c>
      <c r="AH103" s="3">
        <v>169.507807832997</v>
      </c>
      <c r="AI103" s="3">
        <v>171.49945466699899</v>
      </c>
      <c r="AJ103" s="3">
        <v>171.49108483299599</v>
      </c>
      <c r="AK103" s="3" t="s">
        <v>46</v>
      </c>
      <c r="AL103" s="3">
        <v>1</v>
      </c>
      <c r="AM103" s="3" t="s">
        <v>47</v>
      </c>
      <c r="AN103" s="3" t="s">
        <v>48</v>
      </c>
      <c r="AO103" s="2"/>
      <c r="AP103" s="3" t="s">
        <v>49</v>
      </c>
      <c r="AQ103" s="3">
        <v>121.07789498818499</v>
      </c>
      <c r="AR103" s="3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13DC17-BDEC-E84D-A5B3-AA3A141C30FB}">
  <dimension ref="B1:R125"/>
  <sheetViews>
    <sheetView tabSelected="1" topLeftCell="A32" zoomScale="125" workbookViewId="0">
      <selection activeCell="O113" sqref="O113"/>
    </sheetView>
  </sheetViews>
  <sheetFormatPr baseColWidth="10" defaultRowHeight="16" x14ac:dyDescent="0.2"/>
  <cols>
    <col min="12" max="12" width="12.6640625" customWidth="1"/>
    <col min="13" max="13" width="11.5" customWidth="1"/>
    <col min="14" max="14" width="25.6640625" customWidth="1"/>
    <col min="16" max="16" width="12" customWidth="1"/>
    <col min="17" max="17" width="11.5" customWidth="1"/>
  </cols>
  <sheetData>
    <row r="1" spans="2:9" x14ac:dyDescent="0.2">
      <c r="B1" s="6" t="s">
        <v>3</v>
      </c>
      <c r="C1" s="6" t="s">
        <v>4</v>
      </c>
      <c r="D1" s="6" t="s">
        <v>7</v>
      </c>
      <c r="E1" s="1"/>
      <c r="F1" s="6" t="s">
        <v>53</v>
      </c>
      <c r="G1" s="6" t="s">
        <v>54</v>
      </c>
      <c r="H1" s="6" t="s">
        <v>55</v>
      </c>
      <c r="I1" s="6" t="s">
        <v>56</v>
      </c>
    </row>
    <row r="2" spans="2:9" x14ac:dyDescent="0.2">
      <c r="B2" s="4"/>
      <c r="C2" s="4"/>
      <c r="D2" s="4"/>
      <c r="E2" s="2"/>
      <c r="F2" s="5"/>
      <c r="G2" s="5"/>
      <c r="H2" s="5"/>
      <c r="I2" s="5"/>
    </row>
    <row r="3" spans="2:9" x14ac:dyDescent="0.2">
      <c r="B3" s="5" t="s">
        <v>51</v>
      </c>
      <c r="C3" s="5">
        <v>1</v>
      </c>
      <c r="D3" s="5">
        <v>0</v>
      </c>
      <c r="E3" s="3"/>
      <c r="F3" s="5">
        <v>1</v>
      </c>
      <c r="G3" s="5"/>
      <c r="H3" s="5"/>
      <c r="I3" s="5"/>
    </row>
    <row r="4" spans="2:9" x14ac:dyDescent="0.2">
      <c r="B4" s="5" t="s">
        <v>51</v>
      </c>
      <c r="C4" s="5">
        <v>1</v>
      </c>
      <c r="D4" s="5">
        <v>0</v>
      </c>
      <c r="E4" s="3"/>
      <c r="F4" s="5">
        <v>1</v>
      </c>
      <c r="G4" s="5"/>
      <c r="H4" s="5"/>
      <c r="I4" s="5"/>
    </row>
    <row r="5" spans="2:9" x14ac:dyDescent="0.2">
      <c r="B5" s="5" t="s">
        <v>52</v>
      </c>
      <c r="C5" s="5">
        <v>1</v>
      </c>
      <c r="D5" s="5">
        <v>-4</v>
      </c>
      <c r="E5" s="3"/>
      <c r="F5" s="5"/>
      <c r="G5" s="5"/>
      <c r="H5" s="5"/>
      <c r="I5" s="5">
        <v>1</v>
      </c>
    </row>
    <row r="6" spans="2:9" x14ac:dyDescent="0.2">
      <c r="B6" s="5" t="s">
        <v>51</v>
      </c>
      <c r="C6" s="5">
        <v>0</v>
      </c>
      <c r="D6" s="5">
        <v>1</v>
      </c>
      <c r="E6" s="3"/>
      <c r="F6" s="5"/>
      <c r="G6" s="5"/>
      <c r="H6" s="5">
        <v>1</v>
      </c>
      <c r="I6" s="5"/>
    </row>
    <row r="7" spans="2:9" x14ac:dyDescent="0.2">
      <c r="B7" s="5" t="s">
        <v>51</v>
      </c>
      <c r="C7" s="5">
        <v>0</v>
      </c>
      <c r="D7" s="5">
        <v>1</v>
      </c>
      <c r="E7" s="3"/>
      <c r="F7" s="5"/>
      <c r="G7" s="5"/>
      <c r="H7" s="5">
        <v>1</v>
      </c>
      <c r="I7" s="5"/>
    </row>
    <row r="8" spans="2:9" x14ac:dyDescent="0.2">
      <c r="B8" s="5" t="s">
        <v>52</v>
      </c>
      <c r="C8" s="5">
        <v>1</v>
      </c>
      <c r="D8" s="5">
        <v>-4</v>
      </c>
      <c r="E8" s="3"/>
      <c r="F8" s="5"/>
      <c r="G8" s="5"/>
      <c r="H8" s="5"/>
      <c r="I8" s="5">
        <v>1</v>
      </c>
    </row>
    <row r="9" spans="2:9" x14ac:dyDescent="0.2">
      <c r="B9" s="5" t="s">
        <v>51</v>
      </c>
      <c r="C9" s="5">
        <v>1</v>
      </c>
      <c r="D9" s="5">
        <v>0</v>
      </c>
      <c r="E9" s="3"/>
      <c r="F9" s="5">
        <v>1</v>
      </c>
      <c r="G9" s="5"/>
      <c r="H9" s="5"/>
      <c r="I9" s="5"/>
    </row>
    <row r="10" spans="2:9" x14ac:dyDescent="0.2">
      <c r="B10" s="5" t="s">
        <v>51</v>
      </c>
      <c r="C10" s="5">
        <v>1</v>
      </c>
      <c r="D10" s="5">
        <v>0</v>
      </c>
      <c r="E10" s="3"/>
      <c r="F10" s="5">
        <v>1</v>
      </c>
      <c r="G10" s="5"/>
      <c r="H10" s="5"/>
      <c r="I10" s="5"/>
    </row>
    <row r="11" spans="2:9" x14ac:dyDescent="0.2">
      <c r="B11" s="5" t="s">
        <v>51</v>
      </c>
      <c r="C11" s="5">
        <v>1</v>
      </c>
      <c r="D11" s="5">
        <v>0</v>
      </c>
      <c r="E11" s="3"/>
      <c r="F11" s="5">
        <v>1</v>
      </c>
      <c r="G11" s="5"/>
      <c r="H11" s="5"/>
      <c r="I11" s="5"/>
    </row>
    <row r="12" spans="2:9" x14ac:dyDescent="0.2">
      <c r="B12" s="5" t="s">
        <v>51</v>
      </c>
      <c r="C12" s="5">
        <v>0</v>
      </c>
      <c r="D12" s="5">
        <v>2</v>
      </c>
      <c r="E12" s="3"/>
      <c r="F12" s="7"/>
      <c r="G12" s="7"/>
      <c r="H12" s="7">
        <v>1</v>
      </c>
      <c r="I12" s="7"/>
    </row>
    <row r="13" spans="2:9" x14ac:dyDescent="0.2">
      <c r="B13" s="5" t="s">
        <v>52</v>
      </c>
      <c r="C13" s="5">
        <v>1</v>
      </c>
      <c r="D13" s="5">
        <v>-5</v>
      </c>
      <c r="E13" s="3"/>
      <c r="F13" s="7"/>
      <c r="G13" s="7"/>
      <c r="H13" s="7"/>
      <c r="I13" s="7">
        <v>1</v>
      </c>
    </row>
    <row r="14" spans="2:9" x14ac:dyDescent="0.2">
      <c r="B14" s="5" t="s">
        <v>51</v>
      </c>
      <c r="C14" s="5">
        <v>1</v>
      </c>
      <c r="D14" s="5">
        <v>0</v>
      </c>
      <c r="E14" s="3"/>
      <c r="F14" s="7">
        <v>1</v>
      </c>
      <c r="G14" s="7"/>
      <c r="H14" s="7"/>
      <c r="I14" s="7"/>
    </row>
    <row r="15" spans="2:9" x14ac:dyDescent="0.2">
      <c r="B15" s="5" t="s">
        <v>52</v>
      </c>
      <c r="C15" s="5">
        <v>1</v>
      </c>
      <c r="D15" s="5">
        <v>-5</v>
      </c>
      <c r="E15" s="3"/>
      <c r="F15" s="7"/>
      <c r="G15" s="7"/>
      <c r="H15" s="7"/>
      <c r="I15" s="7">
        <v>1</v>
      </c>
    </row>
    <row r="16" spans="2:9" x14ac:dyDescent="0.2">
      <c r="B16" s="5" t="s">
        <v>52</v>
      </c>
      <c r="C16" s="5">
        <v>1</v>
      </c>
      <c r="D16" s="5">
        <v>-4</v>
      </c>
      <c r="E16" s="3"/>
      <c r="F16" s="7"/>
      <c r="G16" s="7"/>
      <c r="H16" s="7"/>
      <c r="I16" s="7">
        <v>1</v>
      </c>
    </row>
    <row r="17" spans="2:9" x14ac:dyDescent="0.2">
      <c r="B17" s="5" t="s">
        <v>52</v>
      </c>
      <c r="C17" s="5">
        <v>1</v>
      </c>
      <c r="D17" s="5">
        <v>1</v>
      </c>
      <c r="E17" s="3"/>
      <c r="F17" s="7"/>
      <c r="G17" s="7"/>
      <c r="H17" s="7"/>
      <c r="I17" s="7">
        <v>1</v>
      </c>
    </row>
    <row r="18" spans="2:9" x14ac:dyDescent="0.2">
      <c r="B18" s="5" t="s">
        <v>52</v>
      </c>
      <c r="C18" s="5">
        <v>1</v>
      </c>
      <c r="D18" s="5">
        <v>-4</v>
      </c>
      <c r="E18" s="3"/>
      <c r="F18" s="7"/>
      <c r="G18" s="7"/>
      <c r="H18" s="7"/>
      <c r="I18" s="7">
        <v>1</v>
      </c>
    </row>
    <row r="19" spans="2:9" x14ac:dyDescent="0.2">
      <c r="B19" s="5" t="s">
        <v>51</v>
      </c>
      <c r="C19" s="5">
        <v>1</v>
      </c>
      <c r="D19" s="5">
        <v>0</v>
      </c>
      <c r="E19" s="3"/>
      <c r="F19" s="7">
        <v>1</v>
      </c>
      <c r="G19" s="7"/>
      <c r="H19" s="7"/>
      <c r="I19" s="7"/>
    </row>
    <row r="20" spans="2:9" x14ac:dyDescent="0.2">
      <c r="B20" s="5" t="s">
        <v>51</v>
      </c>
      <c r="C20" s="5">
        <v>1</v>
      </c>
      <c r="D20" s="5">
        <v>0</v>
      </c>
      <c r="E20" s="3"/>
      <c r="F20" s="7">
        <v>1</v>
      </c>
      <c r="G20" s="7"/>
      <c r="H20" s="7"/>
      <c r="I20" s="7"/>
    </row>
    <row r="21" spans="2:9" x14ac:dyDescent="0.2">
      <c r="B21" s="5" t="s">
        <v>51</v>
      </c>
      <c r="C21" s="5">
        <v>1</v>
      </c>
      <c r="D21" s="5">
        <v>0</v>
      </c>
      <c r="E21" s="3"/>
      <c r="F21" s="7">
        <v>1</v>
      </c>
      <c r="G21" s="7"/>
      <c r="H21" s="7"/>
      <c r="I21" s="7"/>
    </row>
    <row r="22" spans="2:9" x14ac:dyDescent="0.2">
      <c r="B22" s="5" t="s">
        <v>52</v>
      </c>
      <c r="C22" s="5">
        <v>1</v>
      </c>
      <c r="D22" s="5">
        <v>-4</v>
      </c>
      <c r="E22" s="3"/>
      <c r="F22" s="7"/>
      <c r="G22" s="7"/>
      <c r="H22" s="7"/>
      <c r="I22" s="7">
        <v>1</v>
      </c>
    </row>
    <row r="23" spans="2:9" x14ac:dyDescent="0.2">
      <c r="B23" s="5" t="s">
        <v>51</v>
      </c>
      <c r="C23" s="5">
        <v>0</v>
      </c>
      <c r="D23" s="5">
        <v>1</v>
      </c>
      <c r="E23" s="3"/>
      <c r="F23" s="7"/>
      <c r="G23" s="7"/>
      <c r="H23" s="7">
        <v>1</v>
      </c>
      <c r="I23" s="7"/>
    </row>
    <row r="24" spans="2:9" x14ac:dyDescent="0.2">
      <c r="B24" s="5" t="s">
        <v>51</v>
      </c>
      <c r="C24" s="5">
        <v>1</v>
      </c>
      <c r="D24" s="5">
        <v>0</v>
      </c>
      <c r="E24" s="3"/>
      <c r="F24" s="7">
        <v>1</v>
      </c>
      <c r="G24" s="7"/>
      <c r="H24" s="7"/>
      <c r="I24" s="7"/>
    </row>
    <row r="25" spans="2:9" x14ac:dyDescent="0.2">
      <c r="B25" s="5" t="s">
        <v>51</v>
      </c>
      <c r="C25" s="5">
        <v>1</v>
      </c>
      <c r="D25" s="5">
        <v>0</v>
      </c>
      <c r="E25" s="3"/>
      <c r="F25" s="7">
        <v>1</v>
      </c>
      <c r="G25" s="7"/>
      <c r="H25" s="7"/>
      <c r="I25" s="7"/>
    </row>
    <row r="26" spans="2:9" x14ac:dyDescent="0.2">
      <c r="B26" s="5" t="s">
        <v>51</v>
      </c>
      <c r="C26" s="5">
        <v>1</v>
      </c>
      <c r="D26" s="5">
        <v>0</v>
      </c>
      <c r="E26" s="3"/>
      <c r="F26" s="7">
        <v>1</v>
      </c>
      <c r="G26" s="7"/>
      <c r="H26" s="7"/>
      <c r="I26" s="7"/>
    </row>
    <row r="27" spans="2:9" x14ac:dyDescent="0.2">
      <c r="B27" s="5" t="s">
        <v>51</v>
      </c>
      <c r="C27" s="5">
        <v>1</v>
      </c>
      <c r="D27" s="5">
        <v>0</v>
      </c>
      <c r="E27" s="3"/>
      <c r="F27" s="7">
        <v>1</v>
      </c>
      <c r="G27" s="7"/>
      <c r="H27" s="7"/>
      <c r="I27" s="7"/>
    </row>
    <row r="28" spans="2:9" x14ac:dyDescent="0.2">
      <c r="B28" s="5" t="s">
        <v>51</v>
      </c>
      <c r="C28" s="5">
        <v>1</v>
      </c>
      <c r="D28" s="5">
        <v>0</v>
      </c>
      <c r="E28" s="3"/>
      <c r="F28" s="7">
        <v>1</v>
      </c>
      <c r="G28" s="7"/>
      <c r="H28" s="7"/>
      <c r="I28" s="7"/>
    </row>
    <row r="29" spans="2:9" x14ac:dyDescent="0.2">
      <c r="B29" s="5" t="s">
        <v>52</v>
      </c>
      <c r="C29" s="5">
        <v>1</v>
      </c>
      <c r="D29" s="5">
        <v>2</v>
      </c>
      <c r="E29" s="3"/>
      <c r="F29" s="7"/>
      <c r="G29" s="7"/>
      <c r="H29" s="7"/>
      <c r="I29" s="7">
        <v>1</v>
      </c>
    </row>
    <row r="30" spans="2:9" x14ac:dyDescent="0.2">
      <c r="B30" s="5" t="s">
        <v>51</v>
      </c>
      <c r="C30" s="5">
        <v>1</v>
      </c>
      <c r="D30" s="5">
        <v>0</v>
      </c>
      <c r="E30" s="3"/>
      <c r="F30" s="7">
        <v>1</v>
      </c>
      <c r="G30" s="7"/>
      <c r="H30" s="7"/>
      <c r="I30" s="7"/>
    </row>
    <row r="31" spans="2:9" x14ac:dyDescent="0.2">
      <c r="B31" s="5" t="s">
        <v>51</v>
      </c>
      <c r="C31" s="5">
        <v>1</v>
      </c>
      <c r="D31" s="5">
        <v>0</v>
      </c>
      <c r="E31" s="3"/>
      <c r="F31" s="7">
        <v>1</v>
      </c>
      <c r="G31" s="7"/>
      <c r="H31" s="7"/>
      <c r="I31" s="7"/>
    </row>
    <row r="32" spans="2:9" x14ac:dyDescent="0.2">
      <c r="B32" s="5" t="s">
        <v>51</v>
      </c>
      <c r="C32" s="5">
        <v>1</v>
      </c>
      <c r="D32" s="5">
        <v>0</v>
      </c>
      <c r="E32" s="3"/>
      <c r="F32" s="7">
        <v>1</v>
      </c>
      <c r="G32" s="7"/>
      <c r="H32" s="7"/>
      <c r="I32" s="7"/>
    </row>
    <row r="33" spans="2:9" x14ac:dyDescent="0.2">
      <c r="B33" s="5" t="s">
        <v>52</v>
      </c>
      <c r="C33" s="5">
        <v>1</v>
      </c>
      <c r="D33" s="5">
        <v>3</v>
      </c>
      <c r="E33" s="3"/>
      <c r="F33" s="7"/>
      <c r="G33" s="7"/>
      <c r="H33" s="7"/>
      <c r="I33" s="7">
        <v>1</v>
      </c>
    </row>
    <row r="34" spans="2:9" x14ac:dyDescent="0.2">
      <c r="B34" s="5" t="s">
        <v>51</v>
      </c>
      <c r="C34" s="5">
        <v>1</v>
      </c>
      <c r="D34" s="5">
        <v>0</v>
      </c>
      <c r="E34" s="3"/>
      <c r="F34" s="7">
        <v>1</v>
      </c>
      <c r="G34" s="7"/>
      <c r="H34" s="7"/>
      <c r="I34" s="7"/>
    </row>
    <row r="35" spans="2:9" x14ac:dyDescent="0.2">
      <c r="B35" s="5" t="s">
        <v>51</v>
      </c>
      <c r="C35" s="5">
        <v>1</v>
      </c>
      <c r="D35" s="5">
        <v>0</v>
      </c>
      <c r="E35" s="3"/>
      <c r="F35" s="7">
        <v>1</v>
      </c>
      <c r="G35" s="7"/>
      <c r="H35" s="7"/>
      <c r="I35" s="7"/>
    </row>
    <row r="36" spans="2:9" x14ac:dyDescent="0.2">
      <c r="B36" s="5" t="s">
        <v>51</v>
      </c>
      <c r="C36" s="5">
        <v>0</v>
      </c>
      <c r="D36" s="5">
        <v>1</v>
      </c>
      <c r="E36" s="3"/>
      <c r="F36" s="7"/>
      <c r="G36" s="7"/>
      <c r="H36" s="7">
        <v>1</v>
      </c>
      <c r="I36" s="7"/>
    </row>
    <row r="37" spans="2:9" x14ac:dyDescent="0.2">
      <c r="B37" s="5" t="s">
        <v>52</v>
      </c>
      <c r="C37" s="5">
        <v>1</v>
      </c>
      <c r="D37" s="5">
        <v>-3</v>
      </c>
      <c r="E37" s="3"/>
      <c r="F37" s="7"/>
      <c r="G37" s="7"/>
      <c r="H37" s="7"/>
      <c r="I37" s="7">
        <v>1</v>
      </c>
    </row>
    <row r="38" spans="2:9" x14ac:dyDescent="0.2">
      <c r="B38" s="5" t="s">
        <v>51</v>
      </c>
      <c r="C38" s="5">
        <v>1</v>
      </c>
      <c r="D38" s="5">
        <v>0</v>
      </c>
      <c r="E38" s="3"/>
      <c r="F38" s="7">
        <v>1</v>
      </c>
      <c r="G38" s="7"/>
      <c r="H38" s="7"/>
      <c r="I38" s="7"/>
    </row>
    <row r="39" spans="2:9" x14ac:dyDescent="0.2">
      <c r="B39" s="5" t="s">
        <v>51</v>
      </c>
      <c r="C39" s="5">
        <v>1</v>
      </c>
      <c r="D39" s="5">
        <v>0</v>
      </c>
      <c r="E39" s="3"/>
      <c r="F39" s="7">
        <v>1</v>
      </c>
      <c r="G39" s="7"/>
      <c r="H39" s="7"/>
      <c r="I39" s="7"/>
    </row>
    <row r="40" spans="2:9" x14ac:dyDescent="0.2">
      <c r="B40" s="5" t="s">
        <v>51</v>
      </c>
      <c r="C40" s="5">
        <v>1</v>
      </c>
      <c r="D40" s="5">
        <v>0</v>
      </c>
      <c r="E40" s="3"/>
      <c r="F40" s="7">
        <v>1</v>
      </c>
      <c r="G40" s="7"/>
      <c r="H40" s="7"/>
      <c r="I40" s="7"/>
    </row>
    <row r="41" spans="2:9" x14ac:dyDescent="0.2">
      <c r="B41" s="5" t="s">
        <v>52</v>
      </c>
      <c r="C41" s="5">
        <v>1</v>
      </c>
      <c r="D41" s="5">
        <v>3</v>
      </c>
      <c r="E41" s="3"/>
      <c r="F41" s="7"/>
      <c r="G41" s="7"/>
      <c r="H41" s="7"/>
      <c r="I41" s="7">
        <v>1</v>
      </c>
    </row>
    <row r="42" spans="2:9" x14ac:dyDescent="0.2">
      <c r="B42" s="5" t="s">
        <v>51</v>
      </c>
      <c r="C42" s="5">
        <v>1</v>
      </c>
      <c r="D42" s="5">
        <v>0</v>
      </c>
      <c r="E42" s="3"/>
      <c r="F42" s="7">
        <v>1</v>
      </c>
      <c r="G42" s="7"/>
      <c r="H42" s="7"/>
      <c r="I42" s="7"/>
    </row>
    <row r="43" spans="2:9" x14ac:dyDescent="0.2">
      <c r="B43" s="5" t="s">
        <v>52</v>
      </c>
      <c r="C43" s="5">
        <v>1</v>
      </c>
      <c r="D43" s="5">
        <v>-5</v>
      </c>
      <c r="E43" s="3"/>
      <c r="F43" s="7"/>
      <c r="G43" s="7"/>
      <c r="H43" s="7"/>
      <c r="I43" s="7">
        <v>1</v>
      </c>
    </row>
    <row r="44" spans="2:9" x14ac:dyDescent="0.2">
      <c r="B44" s="5" t="s">
        <v>51</v>
      </c>
      <c r="C44" s="5">
        <v>0</v>
      </c>
      <c r="D44" s="5">
        <v>-2</v>
      </c>
      <c r="E44" s="3"/>
      <c r="F44" s="7"/>
      <c r="G44" s="7"/>
      <c r="H44" s="7">
        <v>1</v>
      </c>
      <c r="I44" s="7"/>
    </row>
    <row r="45" spans="2:9" x14ac:dyDescent="0.2">
      <c r="B45" s="5" t="s">
        <v>51</v>
      </c>
      <c r="C45" s="5">
        <v>1</v>
      </c>
      <c r="D45" s="5">
        <v>0</v>
      </c>
      <c r="E45" s="3"/>
      <c r="F45" s="7">
        <v>1</v>
      </c>
      <c r="G45" s="7"/>
      <c r="H45" s="7"/>
      <c r="I45" s="7"/>
    </row>
    <row r="46" spans="2:9" x14ac:dyDescent="0.2">
      <c r="B46" s="5" t="s">
        <v>51</v>
      </c>
      <c r="C46" s="5">
        <v>1</v>
      </c>
      <c r="D46" s="5">
        <v>0</v>
      </c>
      <c r="E46" s="3"/>
      <c r="F46" s="7">
        <v>1</v>
      </c>
      <c r="G46" s="7"/>
      <c r="H46" s="7"/>
      <c r="I46" s="7"/>
    </row>
    <row r="47" spans="2:9" x14ac:dyDescent="0.2">
      <c r="B47" s="5" t="s">
        <v>52</v>
      </c>
      <c r="C47" s="5">
        <v>1</v>
      </c>
      <c r="D47" s="5">
        <v>-3</v>
      </c>
      <c r="E47" s="3"/>
      <c r="F47" s="7"/>
      <c r="G47" s="7"/>
      <c r="H47" s="7"/>
      <c r="I47" s="7">
        <v>1</v>
      </c>
    </row>
    <row r="48" spans="2:9" x14ac:dyDescent="0.2">
      <c r="B48" s="5" t="s">
        <v>52</v>
      </c>
      <c r="C48" s="5">
        <v>1</v>
      </c>
      <c r="D48" s="5">
        <v>4</v>
      </c>
      <c r="E48" s="3"/>
      <c r="F48" s="7"/>
      <c r="G48" s="7"/>
      <c r="H48" s="7"/>
      <c r="I48" s="7">
        <v>1</v>
      </c>
    </row>
    <row r="49" spans="2:9" x14ac:dyDescent="0.2">
      <c r="B49" s="5" t="s">
        <v>51</v>
      </c>
      <c r="C49" s="5">
        <v>1</v>
      </c>
      <c r="D49" s="5">
        <v>0</v>
      </c>
      <c r="E49" s="3"/>
      <c r="F49" s="7">
        <v>1</v>
      </c>
      <c r="G49" s="7"/>
      <c r="H49" s="7"/>
      <c r="I49" s="7"/>
    </row>
    <row r="50" spans="2:9" x14ac:dyDescent="0.2">
      <c r="B50" s="5" t="s">
        <v>51</v>
      </c>
      <c r="C50" s="5">
        <v>1</v>
      </c>
      <c r="D50" s="5">
        <v>0</v>
      </c>
      <c r="E50" s="3"/>
      <c r="F50" s="7">
        <v>1</v>
      </c>
      <c r="G50" s="7"/>
      <c r="H50" s="7"/>
      <c r="I50" s="7"/>
    </row>
    <row r="51" spans="2:9" x14ac:dyDescent="0.2">
      <c r="B51" s="5" t="s">
        <v>51</v>
      </c>
      <c r="C51" s="5">
        <v>1</v>
      </c>
      <c r="D51" s="5">
        <v>0</v>
      </c>
      <c r="E51" s="3"/>
      <c r="F51" s="7">
        <v>1</v>
      </c>
      <c r="G51" s="7"/>
      <c r="H51" s="7"/>
      <c r="I51" s="7"/>
    </row>
    <row r="52" spans="2:9" x14ac:dyDescent="0.2">
      <c r="B52" s="5" t="s">
        <v>52</v>
      </c>
      <c r="C52" s="5">
        <v>1</v>
      </c>
      <c r="D52" s="5">
        <v>-3</v>
      </c>
      <c r="E52" s="3"/>
      <c r="F52" s="7"/>
      <c r="G52" s="7"/>
      <c r="H52" s="7"/>
      <c r="I52" s="7">
        <v>1</v>
      </c>
    </row>
    <row r="53" spans="2:9" x14ac:dyDescent="0.2">
      <c r="B53" s="5" t="s">
        <v>51</v>
      </c>
      <c r="C53" s="5">
        <v>1</v>
      </c>
      <c r="D53" s="5">
        <v>0</v>
      </c>
      <c r="E53" s="3"/>
      <c r="F53" s="7">
        <v>1</v>
      </c>
      <c r="G53" s="7"/>
      <c r="H53" s="7"/>
      <c r="I53" s="7"/>
    </row>
    <row r="54" spans="2:9" x14ac:dyDescent="0.2">
      <c r="B54" s="5" t="s">
        <v>51</v>
      </c>
      <c r="C54" s="5">
        <v>1</v>
      </c>
      <c r="D54" s="5">
        <v>0</v>
      </c>
      <c r="E54" s="3"/>
      <c r="F54" s="7">
        <v>1</v>
      </c>
      <c r="G54" s="7"/>
      <c r="H54" s="7"/>
      <c r="I54" s="7"/>
    </row>
    <row r="55" spans="2:9" x14ac:dyDescent="0.2">
      <c r="B55" s="5" t="s">
        <v>52</v>
      </c>
      <c r="C55" s="5">
        <v>1</v>
      </c>
      <c r="D55" s="5">
        <v>-4</v>
      </c>
      <c r="E55" s="3"/>
      <c r="F55" s="7"/>
      <c r="G55" s="7"/>
      <c r="H55" s="7"/>
      <c r="I55" s="7">
        <v>1</v>
      </c>
    </row>
    <row r="56" spans="2:9" x14ac:dyDescent="0.2">
      <c r="B56" s="5" t="s">
        <v>52</v>
      </c>
      <c r="C56" s="5">
        <v>1</v>
      </c>
      <c r="D56" s="5">
        <v>-3</v>
      </c>
      <c r="E56" s="3"/>
      <c r="F56" s="7"/>
      <c r="G56" s="7"/>
      <c r="H56" s="7"/>
      <c r="I56" s="7">
        <v>1</v>
      </c>
    </row>
    <row r="57" spans="2:9" x14ac:dyDescent="0.2">
      <c r="B57" s="5" t="s">
        <v>51</v>
      </c>
      <c r="C57" s="5">
        <v>1</v>
      </c>
      <c r="D57" s="5">
        <v>0</v>
      </c>
      <c r="E57" s="3"/>
      <c r="F57" s="7">
        <v>1</v>
      </c>
      <c r="G57" s="7"/>
      <c r="H57" s="7"/>
      <c r="I57" s="7"/>
    </row>
    <row r="58" spans="2:9" x14ac:dyDescent="0.2">
      <c r="B58" s="5" t="s">
        <v>51</v>
      </c>
      <c r="C58" s="5">
        <v>1</v>
      </c>
      <c r="D58" s="5">
        <v>0</v>
      </c>
      <c r="E58" s="3"/>
      <c r="F58" s="7">
        <v>1</v>
      </c>
      <c r="G58" s="7"/>
      <c r="H58" s="7"/>
      <c r="I58" s="7"/>
    </row>
    <row r="59" spans="2:9" x14ac:dyDescent="0.2">
      <c r="B59" s="5" t="s">
        <v>51</v>
      </c>
      <c r="C59" s="5">
        <v>1</v>
      </c>
      <c r="D59" s="5">
        <v>0</v>
      </c>
      <c r="E59" s="3"/>
      <c r="F59" s="7">
        <v>1</v>
      </c>
      <c r="G59" s="7"/>
      <c r="H59" s="7"/>
      <c r="I59" s="7"/>
    </row>
    <row r="60" spans="2:9" x14ac:dyDescent="0.2">
      <c r="B60" s="5" t="s">
        <v>52</v>
      </c>
      <c r="C60" s="5">
        <v>1</v>
      </c>
      <c r="D60" s="5">
        <v>-3</v>
      </c>
      <c r="E60" s="3"/>
      <c r="F60" s="7"/>
      <c r="G60" s="7"/>
      <c r="H60" s="7"/>
      <c r="I60" s="7">
        <v>1</v>
      </c>
    </row>
    <row r="61" spans="2:9" x14ac:dyDescent="0.2">
      <c r="B61" s="5" t="s">
        <v>52</v>
      </c>
      <c r="C61" s="5">
        <v>0</v>
      </c>
      <c r="D61" s="5">
        <v>0</v>
      </c>
      <c r="E61" s="3"/>
      <c r="F61" s="7"/>
      <c r="G61" s="7">
        <v>1</v>
      </c>
      <c r="H61" s="7"/>
      <c r="I61" s="7"/>
    </row>
    <row r="62" spans="2:9" x14ac:dyDescent="0.2">
      <c r="B62" s="5" t="s">
        <v>52</v>
      </c>
      <c r="C62" s="5">
        <v>1</v>
      </c>
      <c r="D62" s="5">
        <v>-4</v>
      </c>
      <c r="E62" s="3"/>
      <c r="F62" s="7"/>
      <c r="G62" s="7"/>
      <c r="H62" s="7"/>
      <c r="I62" s="7">
        <v>1</v>
      </c>
    </row>
    <row r="63" spans="2:9" x14ac:dyDescent="0.2">
      <c r="B63" s="5" t="s">
        <v>52</v>
      </c>
      <c r="C63" s="5">
        <v>1</v>
      </c>
      <c r="D63" s="5">
        <v>-2</v>
      </c>
      <c r="E63" s="3"/>
      <c r="F63" s="7"/>
      <c r="G63" s="7"/>
      <c r="H63" s="7"/>
      <c r="I63" s="7">
        <v>1</v>
      </c>
    </row>
    <row r="64" spans="2:9" x14ac:dyDescent="0.2">
      <c r="B64" s="5" t="s">
        <v>52</v>
      </c>
      <c r="C64" s="5">
        <v>1</v>
      </c>
      <c r="D64" s="5">
        <v>-2</v>
      </c>
      <c r="E64" s="3"/>
      <c r="F64" s="7"/>
      <c r="G64" s="7"/>
      <c r="H64" s="7"/>
      <c r="I64" s="7">
        <v>1</v>
      </c>
    </row>
    <row r="65" spans="2:9" x14ac:dyDescent="0.2">
      <c r="B65" s="5" t="s">
        <v>52</v>
      </c>
      <c r="C65" s="5">
        <v>1</v>
      </c>
      <c r="D65" s="5">
        <v>-4</v>
      </c>
      <c r="E65" s="3"/>
      <c r="F65" s="7"/>
      <c r="G65" s="7"/>
      <c r="H65" s="7"/>
      <c r="I65" s="7">
        <v>1</v>
      </c>
    </row>
    <row r="66" spans="2:9" x14ac:dyDescent="0.2">
      <c r="B66" s="5" t="s">
        <v>51</v>
      </c>
      <c r="C66" s="5">
        <v>1</v>
      </c>
      <c r="D66" s="5">
        <v>0</v>
      </c>
      <c r="E66" s="3"/>
      <c r="F66" s="7">
        <v>1</v>
      </c>
      <c r="G66" s="7"/>
      <c r="H66" s="7"/>
      <c r="I66" s="7"/>
    </row>
    <row r="67" spans="2:9" x14ac:dyDescent="0.2">
      <c r="B67" s="5" t="s">
        <v>51</v>
      </c>
      <c r="C67" s="5">
        <v>1</v>
      </c>
      <c r="D67" s="5">
        <v>0</v>
      </c>
      <c r="E67" s="3"/>
      <c r="F67" s="7">
        <v>1</v>
      </c>
      <c r="G67" s="7"/>
      <c r="H67" s="7"/>
      <c r="I67" s="7"/>
    </row>
    <row r="68" spans="2:9" x14ac:dyDescent="0.2">
      <c r="B68" s="5" t="s">
        <v>51</v>
      </c>
      <c r="C68" s="5">
        <v>0</v>
      </c>
      <c r="D68" s="5">
        <v>1</v>
      </c>
      <c r="E68" s="3"/>
      <c r="F68" s="7"/>
      <c r="G68" s="7"/>
      <c r="H68" s="7">
        <v>1</v>
      </c>
      <c r="I68" s="7"/>
    </row>
    <row r="69" spans="2:9" x14ac:dyDescent="0.2">
      <c r="B69" s="5" t="s">
        <v>51</v>
      </c>
      <c r="C69" s="5">
        <v>1</v>
      </c>
      <c r="D69" s="5">
        <v>0</v>
      </c>
      <c r="E69" s="3"/>
      <c r="F69" s="7">
        <v>1</v>
      </c>
      <c r="G69" s="7"/>
      <c r="H69" s="7"/>
      <c r="I69" s="7"/>
    </row>
    <row r="70" spans="2:9" x14ac:dyDescent="0.2">
      <c r="B70" s="5" t="s">
        <v>51</v>
      </c>
      <c r="C70" s="5">
        <v>0</v>
      </c>
      <c r="D70" s="5">
        <v>2</v>
      </c>
      <c r="E70" s="3"/>
      <c r="F70" s="7"/>
      <c r="G70" s="7"/>
      <c r="H70" s="7">
        <v>1</v>
      </c>
      <c r="I70" s="7"/>
    </row>
    <row r="71" spans="2:9" x14ac:dyDescent="0.2">
      <c r="B71" s="5" t="s">
        <v>52</v>
      </c>
      <c r="C71" s="5">
        <v>1</v>
      </c>
      <c r="D71" s="5">
        <v>2</v>
      </c>
      <c r="E71" s="3"/>
      <c r="F71" s="7"/>
      <c r="G71" s="7"/>
      <c r="H71" s="7"/>
      <c r="I71" s="7">
        <v>1</v>
      </c>
    </row>
    <row r="72" spans="2:9" x14ac:dyDescent="0.2">
      <c r="B72" s="5" t="s">
        <v>52</v>
      </c>
      <c r="C72" s="5">
        <v>1</v>
      </c>
      <c r="D72" s="5">
        <v>2</v>
      </c>
      <c r="E72" s="3"/>
      <c r="F72" s="7"/>
      <c r="G72" s="7"/>
      <c r="H72" s="7"/>
      <c r="I72" s="7">
        <v>1</v>
      </c>
    </row>
    <row r="73" spans="2:9" x14ac:dyDescent="0.2">
      <c r="B73" s="5" t="s">
        <v>52</v>
      </c>
      <c r="C73" s="5">
        <v>1</v>
      </c>
      <c r="D73" s="5">
        <v>-5</v>
      </c>
      <c r="E73" s="3"/>
      <c r="F73" s="7"/>
      <c r="G73" s="7"/>
      <c r="H73" s="7"/>
      <c r="I73" s="7">
        <v>1</v>
      </c>
    </row>
    <row r="74" spans="2:9" x14ac:dyDescent="0.2">
      <c r="B74" s="5" t="s">
        <v>51</v>
      </c>
      <c r="C74" s="5">
        <v>0</v>
      </c>
      <c r="D74" s="5">
        <v>2</v>
      </c>
      <c r="E74" s="3"/>
      <c r="F74" s="7"/>
      <c r="G74" s="7"/>
      <c r="H74" s="7">
        <v>1</v>
      </c>
      <c r="I74" s="7"/>
    </row>
    <row r="75" spans="2:9" x14ac:dyDescent="0.2">
      <c r="B75" s="5" t="s">
        <v>51</v>
      </c>
      <c r="C75" s="5">
        <v>1</v>
      </c>
      <c r="D75" s="5">
        <v>0</v>
      </c>
      <c r="E75" s="3"/>
      <c r="F75" s="7">
        <v>1</v>
      </c>
      <c r="G75" s="7"/>
      <c r="H75" s="7"/>
      <c r="I75" s="7"/>
    </row>
    <row r="76" spans="2:9" x14ac:dyDescent="0.2">
      <c r="B76" s="5" t="s">
        <v>52</v>
      </c>
      <c r="C76" s="5">
        <v>1</v>
      </c>
      <c r="D76" s="5">
        <v>-4</v>
      </c>
      <c r="E76" s="3"/>
      <c r="F76" s="7"/>
      <c r="G76" s="7"/>
      <c r="H76" s="7"/>
      <c r="I76" s="7">
        <v>1</v>
      </c>
    </row>
    <row r="77" spans="2:9" x14ac:dyDescent="0.2">
      <c r="B77" s="5" t="s">
        <v>51</v>
      </c>
      <c r="C77" s="5">
        <v>0</v>
      </c>
      <c r="D77" s="5">
        <v>1</v>
      </c>
      <c r="E77" s="3"/>
      <c r="F77" s="7"/>
      <c r="G77" s="7"/>
      <c r="H77" s="7">
        <v>1</v>
      </c>
      <c r="I77" s="7"/>
    </row>
    <row r="78" spans="2:9" x14ac:dyDescent="0.2">
      <c r="B78" s="5" t="s">
        <v>51</v>
      </c>
      <c r="C78" s="5">
        <v>0</v>
      </c>
      <c r="D78" s="5">
        <v>1</v>
      </c>
      <c r="E78" s="3"/>
      <c r="F78" s="7"/>
      <c r="G78" s="7"/>
      <c r="H78" s="7">
        <v>1</v>
      </c>
      <c r="I78" s="7"/>
    </row>
    <row r="79" spans="2:9" x14ac:dyDescent="0.2">
      <c r="B79" s="5" t="s">
        <v>51</v>
      </c>
      <c r="C79" s="5">
        <v>1</v>
      </c>
      <c r="D79" s="5">
        <v>0</v>
      </c>
      <c r="E79" s="3"/>
      <c r="F79" s="7">
        <v>1</v>
      </c>
      <c r="G79" s="7"/>
      <c r="H79" s="7"/>
      <c r="I79" s="7"/>
    </row>
    <row r="80" spans="2:9" x14ac:dyDescent="0.2">
      <c r="B80" s="5" t="s">
        <v>52</v>
      </c>
      <c r="C80" s="5">
        <v>1</v>
      </c>
      <c r="D80" s="5">
        <v>2</v>
      </c>
      <c r="E80" s="3"/>
      <c r="F80" s="7"/>
      <c r="G80" s="7"/>
      <c r="H80" s="7"/>
      <c r="I80" s="7">
        <v>1</v>
      </c>
    </row>
    <row r="81" spans="2:9" x14ac:dyDescent="0.2">
      <c r="B81" s="5" t="s">
        <v>51</v>
      </c>
      <c r="C81" s="5">
        <v>1</v>
      </c>
      <c r="D81" s="5">
        <v>0</v>
      </c>
      <c r="E81" s="3"/>
      <c r="F81" s="7">
        <v>1</v>
      </c>
      <c r="G81" s="7"/>
      <c r="H81" s="7"/>
      <c r="I81" s="7"/>
    </row>
    <row r="82" spans="2:9" x14ac:dyDescent="0.2">
      <c r="B82" s="5" t="s">
        <v>51</v>
      </c>
      <c r="C82" s="5">
        <v>1</v>
      </c>
      <c r="D82" s="5">
        <v>0</v>
      </c>
      <c r="E82" s="3"/>
      <c r="F82" s="7">
        <v>1</v>
      </c>
      <c r="G82" s="7"/>
      <c r="H82" s="7"/>
      <c r="I82" s="7"/>
    </row>
    <row r="83" spans="2:9" x14ac:dyDescent="0.2">
      <c r="B83" s="5" t="s">
        <v>51</v>
      </c>
      <c r="C83" s="5">
        <v>1</v>
      </c>
      <c r="D83" s="5">
        <v>0</v>
      </c>
      <c r="E83" s="3"/>
      <c r="F83" s="7">
        <v>1</v>
      </c>
      <c r="G83" s="7"/>
      <c r="H83" s="7"/>
      <c r="I83" s="7"/>
    </row>
    <row r="84" spans="2:9" x14ac:dyDescent="0.2">
      <c r="B84" s="5" t="s">
        <v>51</v>
      </c>
      <c r="C84" s="5">
        <v>0</v>
      </c>
      <c r="D84" s="5">
        <v>-2</v>
      </c>
      <c r="E84" s="3"/>
      <c r="F84" s="7"/>
      <c r="G84" s="7"/>
      <c r="H84" s="7">
        <v>1</v>
      </c>
      <c r="I84" s="7"/>
    </row>
    <row r="85" spans="2:9" x14ac:dyDescent="0.2">
      <c r="B85" s="5" t="s">
        <v>52</v>
      </c>
      <c r="C85" s="5">
        <v>1</v>
      </c>
      <c r="D85" s="5">
        <v>4</v>
      </c>
      <c r="E85" s="3"/>
      <c r="F85" s="7"/>
      <c r="G85" s="7"/>
      <c r="H85" s="7"/>
      <c r="I85" s="7">
        <v>1</v>
      </c>
    </row>
    <row r="86" spans="2:9" x14ac:dyDescent="0.2">
      <c r="B86" s="5" t="s">
        <v>51</v>
      </c>
      <c r="C86" s="5">
        <v>0</v>
      </c>
      <c r="D86" s="5">
        <v>1</v>
      </c>
      <c r="E86" s="3"/>
      <c r="F86" s="7"/>
      <c r="G86" s="7"/>
      <c r="H86" s="7">
        <v>1</v>
      </c>
      <c r="I86" s="7"/>
    </row>
    <row r="87" spans="2:9" x14ac:dyDescent="0.2">
      <c r="B87" s="5" t="s">
        <v>52</v>
      </c>
      <c r="C87" s="5">
        <v>1</v>
      </c>
      <c r="D87" s="5">
        <v>4</v>
      </c>
      <c r="E87" s="3"/>
      <c r="F87" s="7"/>
      <c r="G87" s="7"/>
      <c r="H87" s="7"/>
      <c r="I87" s="7">
        <v>1</v>
      </c>
    </row>
    <row r="88" spans="2:9" x14ac:dyDescent="0.2">
      <c r="B88" s="5" t="s">
        <v>51</v>
      </c>
      <c r="C88" s="5">
        <v>1</v>
      </c>
      <c r="D88" s="5">
        <v>0</v>
      </c>
      <c r="E88" s="3"/>
      <c r="F88" s="7">
        <v>1</v>
      </c>
      <c r="G88" s="7"/>
      <c r="H88" s="7"/>
      <c r="I88" s="7"/>
    </row>
    <row r="89" spans="2:9" x14ac:dyDescent="0.2">
      <c r="B89" s="5" t="s">
        <v>51</v>
      </c>
      <c r="C89" s="5">
        <v>1</v>
      </c>
      <c r="D89" s="5">
        <v>0</v>
      </c>
      <c r="E89" s="3"/>
      <c r="F89" s="7">
        <v>1</v>
      </c>
      <c r="G89" s="7"/>
      <c r="H89" s="7"/>
      <c r="I89" s="7"/>
    </row>
    <row r="90" spans="2:9" x14ac:dyDescent="0.2">
      <c r="B90" s="5" t="s">
        <v>52</v>
      </c>
      <c r="C90" s="5">
        <v>1</v>
      </c>
      <c r="D90" s="5">
        <v>-3</v>
      </c>
      <c r="E90" s="3"/>
      <c r="F90" s="7"/>
      <c r="G90" s="7"/>
      <c r="H90" s="7"/>
      <c r="I90" s="7">
        <v>1</v>
      </c>
    </row>
    <row r="91" spans="2:9" x14ac:dyDescent="0.2">
      <c r="B91" s="5" t="s">
        <v>51</v>
      </c>
      <c r="C91" s="5">
        <v>1</v>
      </c>
      <c r="D91" s="5">
        <v>0</v>
      </c>
      <c r="E91" s="3"/>
      <c r="F91" s="7">
        <v>1</v>
      </c>
      <c r="G91" s="7"/>
      <c r="H91" s="7"/>
      <c r="I91" s="7"/>
    </row>
    <row r="92" spans="2:9" x14ac:dyDescent="0.2">
      <c r="B92" s="5" t="s">
        <v>51</v>
      </c>
      <c r="C92" s="5">
        <v>1</v>
      </c>
      <c r="D92" s="5">
        <v>0</v>
      </c>
      <c r="E92" s="3"/>
      <c r="F92" s="7">
        <v>1</v>
      </c>
      <c r="G92" s="7"/>
      <c r="H92" s="7"/>
      <c r="I92" s="7"/>
    </row>
    <row r="93" spans="2:9" x14ac:dyDescent="0.2">
      <c r="B93" s="5" t="s">
        <v>51</v>
      </c>
      <c r="C93" s="5">
        <v>1</v>
      </c>
      <c r="D93" s="5">
        <v>0</v>
      </c>
      <c r="E93" s="3"/>
      <c r="F93" s="7">
        <v>1</v>
      </c>
      <c r="G93" s="7"/>
      <c r="H93" s="7"/>
      <c r="I93" s="7"/>
    </row>
    <row r="94" spans="2:9" x14ac:dyDescent="0.2">
      <c r="B94" s="5" t="s">
        <v>51</v>
      </c>
      <c r="C94" s="5">
        <v>1</v>
      </c>
      <c r="D94" s="5">
        <v>0</v>
      </c>
      <c r="E94" s="3"/>
      <c r="F94" s="7">
        <v>1</v>
      </c>
      <c r="G94" s="7"/>
      <c r="H94" s="7"/>
      <c r="I94" s="7"/>
    </row>
    <row r="95" spans="2:9" x14ac:dyDescent="0.2">
      <c r="B95" s="5" t="s">
        <v>52</v>
      </c>
      <c r="C95" s="5">
        <v>1</v>
      </c>
      <c r="D95" s="5">
        <v>-4</v>
      </c>
      <c r="E95" s="3"/>
      <c r="F95" s="7"/>
      <c r="G95" s="7"/>
      <c r="H95" s="7"/>
      <c r="I95" s="7">
        <v>1</v>
      </c>
    </row>
    <row r="96" spans="2:9" x14ac:dyDescent="0.2">
      <c r="B96" s="5" t="s">
        <v>51</v>
      </c>
      <c r="C96" s="5">
        <v>1</v>
      </c>
      <c r="D96" s="5">
        <v>0</v>
      </c>
      <c r="E96" s="3"/>
      <c r="F96" s="7">
        <v>1</v>
      </c>
      <c r="G96" s="7"/>
      <c r="H96" s="7"/>
      <c r="I96" s="7"/>
    </row>
    <row r="97" spans="2:18" x14ac:dyDescent="0.2">
      <c r="B97" s="5" t="s">
        <v>52</v>
      </c>
      <c r="C97" s="5">
        <v>1</v>
      </c>
      <c r="D97" s="5">
        <v>-4</v>
      </c>
      <c r="E97" s="3"/>
      <c r="F97" s="7"/>
      <c r="G97" s="7"/>
      <c r="H97" s="7"/>
      <c r="I97" s="7">
        <v>1</v>
      </c>
    </row>
    <row r="98" spans="2:18" x14ac:dyDescent="0.2">
      <c r="B98" s="5" t="s">
        <v>52</v>
      </c>
      <c r="C98" s="5">
        <v>1</v>
      </c>
      <c r="D98" s="5">
        <v>-4</v>
      </c>
      <c r="E98" s="3"/>
      <c r="F98" s="7"/>
      <c r="G98" s="7"/>
      <c r="H98" s="7"/>
      <c r="I98" s="7">
        <v>1</v>
      </c>
    </row>
    <row r="99" spans="2:18" x14ac:dyDescent="0.2">
      <c r="B99" s="5" t="s">
        <v>52</v>
      </c>
      <c r="C99" s="5">
        <v>1</v>
      </c>
      <c r="D99" s="5">
        <v>4</v>
      </c>
      <c r="E99" s="3"/>
      <c r="F99" s="7"/>
      <c r="G99" s="7"/>
      <c r="H99" s="7"/>
      <c r="I99" s="7">
        <v>1</v>
      </c>
    </row>
    <row r="100" spans="2:18" x14ac:dyDescent="0.2">
      <c r="B100" s="5" t="s">
        <v>51</v>
      </c>
      <c r="C100" s="5">
        <v>1</v>
      </c>
      <c r="D100" s="5">
        <v>0</v>
      </c>
      <c r="E100" s="3"/>
      <c r="F100" s="7">
        <v>1</v>
      </c>
      <c r="G100" s="7"/>
      <c r="H100" s="7"/>
      <c r="I100" s="7"/>
    </row>
    <row r="101" spans="2:18" x14ac:dyDescent="0.2">
      <c r="B101" s="5" t="s">
        <v>52</v>
      </c>
      <c r="C101" s="5">
        <v>1</v>
      </c>
      <c r="D101" s="5">
        <v>-3</v>
      </c>
      <c r="E101" s="3"/>
      <c r="F101" s="7"/>
      <c r="G101" s="7"/>
      <c r="H101" s="7"/>
      <c r="I101" s="7">
        <v>1</v>
      </c>
    </row>
    <row r="102" spans="2:18" x14ac:dyDescent="0.2">
      <c r="B102" s="5" t="s">
        <v>51</v>
      </c>
      <c r="C102" s="5">
        <v>1</v>
      </c>
      <c r="D102" s="5">
        <v>0</v>
      </c>
      <c r="E102" s="3"/>
      <c r="F102" s="7">
        <v>1</v>
      </c>
      <c r="G102" s="7"/>
      <c r="H102" s="7"/>
      <c r="I102" s="7"/>
    </row>
    <row r="103" spans="2:18" x14ac:dyDescent="0.2">
      <c r="B103" s="2"/>
      <c r="C103" s="2"/>
      <c r="D103" s="2"/>
      <c r="E103" s="2"/>
      <c r="F103" s="8">
        <f>SUM(F2:F102)</f>
        <v>50</v>
      </c>
      <c r="G103" s="8">
        <f t="shared" ref="G103:I103" si="0">SUM(G2:G102)</f>
        <v>1</v>
      </c>
      <c r="H103" s="8">
        <f t="shared" si="0"/>
        <v>13</v>
      </c>
      <c r="I103" s="8">
        <f t="shared" si="0"/>
        <v>36</v>
      </c>
      <c r="J103" s="9" t="s">
        <v>57</v>
      </c>
    </row>
    <row r="105" spans="2:18" x14ac:dyDescent="0.2">
      <c r="L105" s="7"/>
      <c r="M105" s="7" t="s">
        <v>58</v>
      </c>
      <c r="N105" s="7" t="s">
        <v>59</v>
      </c>
      <c r="P105" s="7"/>
      <c r="Q105" s="7" t="s">
        <v>58</v>
      </c>
      <c r="R105" s="7" t="s">
        <v>59</v>
      </c>
    </row>
    <row r="106" spans="2:18" x14ac:dyDescent="0.2">
      <c r="L106" s="7" t="s">
        <v>60</v>
      </c>
      <c r="M106" s="7" t="s">
        <v>53</v>
      </c>
      <c r="N106" s="7" t="s">
        <v>54</v>
      </c>
      <c r="P106" s="7" t="s">
        <v>60</v>
      </c>
      <c r="Q106" s="7">
        <v>50</v>
      </c>
      <c r="R106" s="7">
        <v>1</v>
      </c>
    </row>
    <row r="107" spans="2:18" x14ac:dyDescent="0.2">
      <c r="L107" s="7" t="s">
        <v>61</v>
      </c>
      <c r="M107" s="7" t="s">
        <v>62</v>
      </c>
      <c r="N107" s="7" t="s">
        <v>63</v>
      </c>
      <c r="P107" s="7" t="s">
        <v>61</v>
      </c>
      <c r="Q107" s="7">
        <v>13</v>
      </c>
      <c r="R107" s="7">
        <v>36</v>
      </c>
    </row>
    <row r="109" spans="2:18" x14ac:dyDescent="0.2">
      <c r="N109" s="7" t="s">
        <v>64</v>
      </c>
      <c r="O109" s="9">
        <f>Q106/(Q106+R106)</f>
        <v>0.98039215686274506</v>
      </c>
    </row>
    <row r="110" spans="2:18" x14ac:dyDescent="0.2">
      <c r="N110" s="7" t="s">
        <v>65</v>
      </c>
      <c r="O110" s="9">
        <f>Q107/(Q107+R107)</f>
        <v>0.26530612244897961</v>
      </c>
    </row>
    <row r="111" spans="2:18" x14ac:dyDescent="0.2">
      <c r="N111" s="7" t="s">
        <v>66</v>
      </c>
      <c r="O111" s="9">
        <f>NORMSINV(O109)-NORMSINV(O110)</f>
        <v>2.6889881884731426</v>
      </c>
    </row>
    <row r="112" spans="2:18" x14ac:dyDescent="0.2">
      <c r="N112" s="7" t="s">
        <v>67</v>
      </c>
      <c r="O112" s="9">
        <f>-((NORMSINV(O109)+NORMSINV(O110))/2)</f>
        <v>-0.7174224065728898</v>
      </c>
      <c r="P112" s="10" t="s">
        <v>68</v>
      </c>
    </row>
    <row r="124" spans="5:9" x14ac:dyDescent="0.2">
      <c r="E124" s="7"/>
      <c r="F124" s="7" t="s">
        <v>70</v>
      </c>
      <c r="G124" s="7" t="s">
        <v>54</v>
      </c>
      <c r="H124" s="7" t="s">
        <v>62</v>
      </c>
      <c r="I124" s="7" t="s">
        <v>69</v>
      </c>
    </row>
    <row r="125" spans="5:9" x14ac:dyDescent="0.2">
      <c r="E125" s="7" t="s">
        <v>71</v>
      </c>
      <c r="F125" s="7">
        <v>50</v>
      </c>
      <c r="G125" s="7">
        <v>1</v>
      </c>
      <c r="H125" s="7">
        <v>13</v>
      </c>
      <c r="I125" s="7">
        <v>36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 Data</vt:lpstr>
      <vt:lpstr>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 Patel</dc:creator>
  <cp:lastModifiedBy>Isha Patel</cp:lastModifiedBy>
  <dcterms:created xsi:type="dcterms:W3CDTF">2026-09-08T12:14:18Z</dcterms:created>
  <dcterms:modified xsi:type="dcterms:W3CDTF">2026-09-11T06:57:23Z</dcterms:modified>
</cp:coreProperties>
</file>