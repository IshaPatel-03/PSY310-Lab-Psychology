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b9b1657059e56d/Documents/"/>
    </mc:Choice>
  </mc:AlternateContent>
  <xr:revisionPtr revIDLastSave="0" documentId="8_{523D65EE-782E-C349-8FD4-0CF5065D9B07}" xr6:coauthVersionLast="47" xr6:coauthVersionMax="47" xr10:uidLastSave="{00000000-0000-0000-0000-000000000000}"/>
  <bookViews>
    <workbookView xWindow="4420" yWindow="660" windowWidth="25820" windowHeight="17180" activeTab="2" xr2:uid="{2A96A954-1353-1D47-88EA-E275D12223FA}"/>
  </bookViews>
  <sheets>
    <sheet name="I" sheetId="2" r:id="rId1"/>
    <sheet name="H" sheetId="1" r:id="rId2"/>
    <sheet name="analysis" sheetId="3" r:id="rId3"/>
  </sheets>
  <definedNames>
    <definedName name="_xlnm._FilterDatabase" localSheetId="1" hidden="1">H!$C$1:$C$43</definedName>
    <definedName name="_xlnm._FilterDatabase" localSheetId="0" hidden="1">I!$C$1:$C$43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3" l="1"/>
  <c r="B18" i="3"/>
  <c r="B15" i="3"/>
  <c r="B17" i="3"/>
  <c r="B16" i="3"/>
  <c r="B14" i="3"/>
  <c r="B13" i="3"/>
  <c r="B12" i="3"/>
  <c r="B11" i="3"/>
  <c r="B10" i="3"/>
  <c r="B9" i="3"/>
  <c r="B8" i="3"/>
  <c r="B7" i="3"/>
  <c r="B5" i="3"/>
  <c r="B4" i="3"/>
  <c r="B6" i="3" s="1"/>
</calcChain>
</file>

<file path=xl/sharedStrings.xml><?xml version="1.0" encoding="utf-8"?>
<sst xmlns="http://schemas.openxmlformats.org/spreadsheetml/2006/main" count="1267" uniqueCount="85">
  <si>
    <t>word</t>
  </si>
  <si>
    <t>colour</t>
  </si>
  <si>
    <t>stim_condition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</si>
  <si>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</si>
  <si>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</si>
  <si>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</si>
  <si>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</si>
  <si>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</si>
  <si>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</si>
  <si>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</si>
  <si>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</si>
  <si>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</si>
  <si>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</si>
  <si>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</si>
  <si>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</si>
  <si>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</si>
  <si>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</si>
  <si>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</si>
  <si>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instruction.started</t>
  </si>
  <si>
    <t>ins.started</t>
  </si>
  <si>
    <t>key.started</t>
  </si>
  <si>
    <t>instruction.stopped</t>
  </si>
  <si>
    <t>key.keys</t>
  </si>
  <si>
    <t>key.rt</t>
  </si>
  <si>
    <t>key.duration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</si>
  <si>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</si>
  <si>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</si>
  <si>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</si>
  <si>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</si>
  <si>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</si>
  <si>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</si>
  <si>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</si>
  <si>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</si>
  <si>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</si>
  <si>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</si>
  <si>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thank.started</t>
  </si>
  <si>
    <t>thankyou.started</t>
  </si>
  <si>
    <t>thankyou.stopped</t>
  </si>
  <si>
    <t>thank.stopped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</si>
  <si>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</si>
  <si>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</si>
  <si>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</si>
  <si>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</si>
  <si>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</si>
  <si>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</si>
  <si>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</si>
  <si>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</si>
  <si>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</si>
  <si>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</si>
  <si>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H</t>
  </si>
  <si>
    <t>2026-09-06_18h06.33.897</t>
  </si>
  <si>
    <t>Stroop2</t>
  </si>
  <si>
    <t>2026.1.3</t>
  </si>
  <si>
    <t>2026-09-06 18h06.33.937573 +0530</t>
  </si>
  <si>
    <t>BLUE</t>
  </si>
  <si>
    <t>red</t>
  </si>
  <si>
    <t>I</t>
  </si>
  <si>
    <t>r</t>
  </si>
  <si>
    <t>RED</t>
  </si>
  <si>
    <t>C</t>
  </si>
  <si>
    <t>blue</t>
  </si>
  <si>
    <t>b</t>
  </si>
  <si>
    <t>2026-09-06_17h55.19.609</t>
  </si>
  <si>
    <t>2026-09-06 17h55.19.647756 +0530</t>
  </si>
  <si>
    <t>Statistical Analysis</t>
  </si>
  <si>
    <t>Difference of average</t>
  </si>
  <si>
    <t>Participant I</t>
  </si>
  <si>
    <t>Participant H</t>
  </si>
  <si>
    <t>std for In in I</t>
  </si>
  <si>
    <t>std for C in I</t>
  </si>
  <si>
    <t>std for IN in H</t>
  </si>
  <si>
    <t>std in C in H</t>
  </si>
  <si>
    <t>Accuracy for IN in I</t>
  </si>
  <si>
    <t>Accuracy for C in I</t>
  </si>
  <si>
    <t>Accuracy for IN in H</t>
  </si>
  <si>
    <t>Accuracy for C in H</t>
  </si>
  <si>
    <t>Mean for Incongruent in both</t>
  </si>
  <si>
    <t>Mean for Congruent in both</t>
  </si>
  <si>
    <t>Mean for Congruent in I</t>
  </si>
  <si>
    <t>Mean for Congruent in H</t>
  </si>
  <si>
    <t>Mean for incongruent in H</t>
  </si>
  <si>
    <t>Mean for incongruent in I</t>
  </si>
  <si>
    <t>T Test</t>
  </si>
  <si>
    <t>Congruent Mean</t>
  </si>
  <si>
    <t>Incongruent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</si>
</sst>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analysis!$A$25</c:f>
              <c:strCache>
                <c:ptCount val="1"/>
                <c:pt idx="0">
                  <c:v>Participant 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analysis!$B$24:$C$24</c:f>
              <c:strCache>
                <c:ptCount val="2"/>
                <c:pt idx="0">
                  <c:v>Congruent Mean</c:v>
                </c:pt>
                <c:pt idx="1">
                  <c:v>Incongruent mean</c:v>
                </c:pt>
              </c:strCache>
            </c:strRef>
          </c:cat>
          <c:val>
            <c:numRef>
              <c:f>analysis!$B$25:$C$25</c:f>
              <c:numCache>
                <c:formatCode>General</c:formatCode>
                <c:ptCount val="2"/>
                <c:pt idx="0">
                  <c:v>0.73077879999999995</c:v>
                </c:pt>
                <c:pt idx="1">
                  <c:v>0.73727719999999997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9-0B42-B709-51994123A40B}"/>
            </c:ext>
          </c:extLst>
        </c:ser>
        <c:ser>
          <c:idx val="1"/>
          <c:order val="1"/>
          <c:tx>
            <c:strRef>
              <c:f>analysis!$A$26</c:f>
              <c:strCache>
                <c:ptCount val="1"/>
                <c:pt idx="0">
                  <c:v>Participant 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analysis!$B$24:$C$24</c:f>
              <c:strCache>
                <c:ptCount val="2"/>
                <c:pt idx="0">
                  <c:v>Congruent Mean</c:v>
                </c:pt>
                <c:pt idx="1">
                  <c:v>Incongruent mean</c:v>
                </c:pt>
              </c:strCache>
            </c:strRef>
          </c:cat>
          <c:val>
            <c:numRef>
              <c:f>analysis!$B$26:$C$26</c:f>
              <c:numCache>
                <c:formatCode>General</c:formatCode>
                <c:ptCount val="2"/>
                <c:pt idx="0">
                  <c:v>0.69157579999999996</c:v>
                </c:pt>
                <c:pt idx="1">
                  <c:v>0.71178680000000005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9-0B42-B709-51994123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881345984"/>
        <c:axId val="1881344192"/>
      </c:barChart>
      <c:catAx>
        <c:axId val="188134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Condition stimulus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344192"/>
        <c:crosses val="autoZero"/>
        <c:auto val="1"/>
        <c:lblAlgn val="ctr"/>
        <c:lblOffset val="100"/>
        <c:noMultiLvlLbl val="0"/>
      </c:catAx>
      <c:valAx>
        <c:axId val="18813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3459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248228</xdr:colOff>
      <xdr:row>28</xdr:row>
      <xdr:rowOff>19628</xdr:rowOff>
    </xdr:from>
    <xdr:to>
      <xdr:col>4</xdr:col>
      <xdr:colOff>525319</xdr:colOff>
      <xdr:row>41</xdr:row>
      <xdr:rowOff>61192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975F3-2870-8BBC-745D-4228FDE94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8D48-3950-1F41-8CC5-0E9A8C418EC4}">
  <dimension ref="A1:AU43"/>
  <sheetViews>
    <sheetView workbookViewId="0">
      <selection activeCell="G48" sqref="G48"/>
    </sheetView>
  </sheetViews>
  <sheetFormatPr baseColWidth="10" defaultRowHeight="16" x14ac:dyDescent="0.2"/>
  <cols>
    <col min="10" max="10" width="13.6640625" customWidth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b">
        <v>0</v>
      </c>
      <c r="S2" s="3">
        <v>1.4658125001005801E-2</v>
      </c>
      <c r="T2" s="3">
        <v>2.2470167001301899E-2</v>
      </c>
      <c r="U2" s="3">
        <v>2.2470167001301899E-2</v>
      </c>
      <c r="V2" s="3">
        <v>17.742087375001599</v>
      </c>
      <c r="W2" s="3" t="s">
        <v>47</v>
      </c>
      <c r="X2" s="3">
        <v>17.710865916997101</v>
      </c>
      <c r="Y2" s="3" t="s">
        <v>48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 t="s">
        <v>56</v>
      </c>
      <c r="AO2" s="3">
        <v>1</v>
      </c>
      <c r="AP2" s="3" t="s">
        <v>62</v>
      </c>
      <c r="AQ2" s="3" t="s">
        <v>51</v>
      </c>
      <c r="AR2" s="2"/>
      <c r="AS2" s="3" t="s">
        <v>52</v>
      </c>
      <c r="AT2" s="3">
        <v>119.861679618499</v>
      </c>
      <c r="AU2" s="3" t="s">
        <v>63</v>
      </c>
    </row>
    <row r="3" spans="1:47" x14ac:dyDescent="0.2">
      <c r="A3" s="1" t="s">
        <v>54</v>
      </c>
      <c r="B3" s="3" t="s">
        <v>55</v>
      </c>
      <c r="C3" s="3" t="s">
        <v>56</v>
      </c>
      <c r="D3" s="3" t="s">
        <v>57</v>
      </c>
      <c r="E3" s="3">
        <v>0</v>
      </c>
      <c r="F3" s="3">
        <v>0</v>
      </c>
      <c r="G3" s="3">
        <v>0</v>
      </c>
      <c r="H3" s="3" t="s">
        <v>57</v>
      </c>
      <c r="I3" s="3">
        <v>1</v>
      </c>
      <c r="J3" s="3">
        <v>0.87043012500362205</v>
      </c>
      <c r="K3" s="3" t="s">
        <v>48</v>
      </c>
      <c r="L3" s="3">
        <v>0</v>
      </c>
      <c r="M3" s="3">
        <v>0</v>
      </c>
      <c r="N3" s="3">
        <v>0</v>
      </c>
      <c r="O3" s="3">
        <v>2</v>
      </c>
      <c r="P3" s="3">
        <v>17.7683168330041</v>
      </c>
      <c r="Q3" s="2"/>
      <c r="R3" s="2"/>
      <c r="S3" s="2"/>
      <c r="T3" s="2"/>
      <c r="U3" s="2"/>
      <c r="V3" s="2"/>
      <c r="W3" s="2"/>
      <c r="X3" s="2"/>
      <c r="Y3" s="2"/>
      <c r="Z3" s="3">
        <v>17.749041458002502</v>
      </c>
      <c r="AA3" s="3">
        <v>17.7683168330041</v>
      </c>
      <c r="AB3" s="3">
        <v>18.234798792000198</v>
      </c>
      <c r="AC3" s="3">
        <v>18.234798792000198</v>
      </c>
      <c r="AD3" s="3">
        <v>18.234798792000198</v>
      </c>
      <c r="AE3" s="3">
        <v>19.1123588330011</v>
      </c>
      <c r="AF3" s="3" t="s">
        <v>57</v>
      </c>
      <c r="AG3" s="3">
        <v>1</v>
      </c>
      <c r="AH3" s="3">
        <v>0.87043012500362205</v>
      </c>
      <c r="AI3" s="3" t="s">
        <v>48</v>
      </c>
      <c r="AJ3" s="2"/>
      <c r="AK3" s="2"/>
      <c r="AL3" s="2"/>
      <c r="AM3" s="2"/>
      <c r="AN3" s="3" t="s">
        <v>56</v>
      </c>
      <c r="AO3" s="3">
        <v>1</v>
      </c>
      <c r="AP3" s="3" t="s">
        <v>62</v>
      </c>
      <c r="AQ3" s="3" t="s">
        <v>51</v>
      </c>
      <c r="AR3" s="2"/>
      <c r="AS3" s="3" t="s">
        <v>52</v>
      </c>
      <c r="AT3" s="3">
        <v>119.861679618499</v>
      </c>
      <c r="AU3" s="3" t="s">
        <v>63</v>
      </c>
    </row>
    <row r="4" spans="1:47" x14ac:dyDescent="0.2">
      <c r="A4" s="1" t="s">
        <v>58</v>
      </c>
      <c r="B4" s="3" t="s">
        <v>55</v>
      </c>
      <c r="C4" s="3" t="s">
        <v>59</v>
      </c>
      <c r="D4" s="3" t="s">
        <v>57</v>
      </c>
      <c r="E4" s="3">
        <v>1</v>
      </c>
      <c r="F4" s="3">
        <v>1</v>
      </c>
      <c r="G4" s="3">
        <v>0</v>
      </c>
      <c r="H4" s="3" t="s">
        <v>57</v>
      </c>
      <c r="I4" s="3">
        <v>1</v>
      </c>
      <c r="J4" s="3">
        <v>0.61985637500038104</v>
      </c>
      <c r="K4" s="3" t="s">
        <v>48</v>
      </c>
      <c r="L4" s="3">
        <v>0</v>
      </c>
      <c r="M4" s="3">
        <v>1</v>
      </c>
      <c r="N4" s="3">
        <v>1</v>
      </c>
      <c r="O4" s="3">
        <v>0</v>
      </c>
      <c r="P4" s="3">
        <v>19.117730167003199</v>
      </c>
      <c r="Q4" s="2"/>
      <c r="R4" s="2"/>
      <c r="S4" s="2"/>
      <c r="T4" s="2"/>
      <c r="U4" s="2"/>
      <c r="V4" s="2"/>
      <c r="W4" s="2"/>
      <c r="X4" s="2"/>
      <c r="Y4" s="2"/>
      <c r="Z4" s="3">
        <v>19.113643042001101</v>
      </c>
      <c r="AA4" s="3">
        <v>19.117730167003199</v>
      </c>
      <c r="AB4" s="3">
        <v>19.618293457999201</v>
      </c>
      <c r="AC4" s="3">
        <v>19.618293457999201</v>
      </c>
      <c r="AD4" s="3">
        <v>19.618293457999201</v>
      </c>
      <c r="AE4" s="3">
        <v>20.250813958002301</v>
      </c>
      <c r="AF4" s="3" t="s">
        <v>57</v>
      </c>
      <c r="AG4" s="3">
        <v>1</v>
      </c>
      <c r="AH4" s="3">
        <v>0.61985637500038104</v>
      </c>
      <c r="AI4" s="3" t="s">
        <v>48</v>
      </c>
      <c r="AJ4" s="2"/>
      <c r="AK4" s="2"/>
      <c r="AL4" s="2"/>
      <c r="AM4" s="2"/>
      <c r="AN4" s="3" t="s">
        <v>56</v>
      </c>
      <c r="AO4" s="3">
        <v>1</v>
      </c>
      <c r="AP4" s="3" t="s">
        <v>62</v>
      </c>
      <c r="AQ4" s="3" t="s">
        <v>51</v>
      </c>
      <c r="AR4" s="2"/>
      <c r="AS4" s="3" t="s">
        <v>52</v>
      </c>
      <c r="AT4" s="3">
        <v>119.861679618499</v>
      </c>
      <c r="AU4" s="3" t="s">
        <v>63</v>
      </c>
    </row>
    <row r="5" spans="1:47" x14ac:dyDescent="0.2">
      <c r="A5" s="1" t="s">
        <v>54</v>
      </c>
      <c r="B5" s="3" t="s">
        <v>60</v>
      </c>
      <c r="C5" s="3" t="s">
        <v>59</v>
      </c>
      <c r="D5" s="3" t="s">
        <v>61</v>
      </c>
      <c r="E5" s="3">
        <v>2</v>
      </c>
      <c r="F5" s="3">
        <v>2</v>
      </c>
      <c r="G5" s="3">
        <v>0</v>
      </c>
      <c r="H5" s="3" t="s">
        <v>61</v>
      </c>
      <c r="I5" s="3">
        <v>1</v>
      </c>
      <c r="J5" s="3">
        <v>0.568331667003804</v>
      </c>
      <c r="K5" s="3" t="s">
        <v>48</v>
      </c>
      <c r="L5" s="3">
        <v>0</v>
      </c>
      <c r="M5" s="3">
        <v>2</v>
      </c>
      <c r="N5" s="3">
        <v>2</v>
      </c>
      <c r="O5" s="3">
        <v>3</v>
      </c>
      <c r="P5" s="3">
        <v>20.259572208000499</v>
      </c>
      <c r="Q5" s="2"/>
      <c r="R5" s="2"/>
      <c r="S5" s="2"/>
      <c r="T5" s="2"/>
      <c r="U5" s="2"/>
      <c r="V5" s="2"/>
      <c r="W5" s="2"/>
      <c r="X5" s="2"/>
      <c r="Y5" s="2"/>
      <c r="Z5" s="3">
        <v>20.251490167000199</v>
      </c>
      <c r="AA5" s="3">
        <v>20.259572208000499</v>
      </c>
      <c r="AB5" s="3">
        <v>20.742796582999301</v>
      </c>
      <c r="AC5" s="3">
        <v>20.742796582999301</v>
      </c>
      <c r="AD5" s="3">
        <v>20.742796582999301</v>
      </c>
      <c r="AE5" s="3">
        <v>21.3184657079983</v>
      </c>
      <c r="AF5" s="3" t="s">
        <v>61</v>
      </c>
      <c r="AG5" s="3">
        <v>1</v>
      </c>
      <c r="AH5" s="3">
        <v>0.568331667003804</v>
      </c>
      <c r="AI5" s="3" t="s">
        <v>48</v>
      </c>
      <c r="AJ5" s="2"/>
      <c r="AK5" s="2"/>
      <c r="AL5" s="2"/>
      <c r="AM5" s="2"/>
      <c r="AN5" s="3" t="s">
        <v>56</v>
      </c>
      <c r="AO5" s="3">
        <v>1</v>
      </c>
      <c r="AP5" s="3" t="s">
        <v>62</v>
      </c>
      <c r="AQ5" s="3" t="s">
        <v>51</v>
      </c>
      <c r="AR5" s="2"/>
      <c r="AS5" s="3" t="s">
        <v>52</v>
      </c>
      <c r="AT5" s="3">
        <v>119.861679618499</v>
      </c>
      <c r="AU5" s="3" t="s">
        <v>63</v>
      </c>
    </row>
    <row r="6" spans="1:47" x14ac:dyDescent="0.2">
      <c r="A6" s="1" t="s">
        <v>58</v>
      </c>
      <c r="B6" s="3" t="s">
        <v>60</v>
      </c>
      <c r="C6" s="3" t="s">
        <v>56</v>
      </c>
      <c r="D6" s="3" t="s">
        <v>61</v>
      </c>
      <c r="E6" s="3">
        <v>3</v>
      </c>
      <c r="F6" s="3">
        <v>3</v>
      </c>
      <c r="G6" s="3">
        <v>0</v>
      </c>
      <c r="H6" s="3" t="s">
        <v>61</v>
      </c>
      <c r="I6" s="3">
        <v>1</v>
      </c>
      <c r="J6" s="3">
        <v>0.37320062499929901</v>
      </c>
      <c r="K6" s="3" t="s">
        <v>48</v>
      </c>
      <c r="L6" s="3">
        <v>0</v>
      </c>
      <c r="M6" s="3">
        <v>3</v>
      </c>
      <c r="N6" s="3">
        <v>3</v>
      </c>
      <c r="O6" s="3">
        <v>1</v>
      </c>
      <c r="P6" s="3">
        <v>21.326573917002001</v>
      </c>
      <c r="Q6" s="2"/>
      <c r="R6" s="2"/>
      <c r="S6" s="2"/>
      <c r="T6" s="2"/>
      <c r="U6" s="2"/>
      <c r="V6" s="2"/>
      <c r="W6" s="2"/>
      <c r="X6" s="2"/>
      <c r="Y6" s="2"/>
      <c r="Z6" s="3">
        <v>21.319172000003199</v>
      </c>
      <c r="AA6" s="3">
        <v>21.326573917002001</v>
      </c>
      <c r="AB6" s="3">
        <v>21.8099167079999</v>
      </c>
      <c r="AC6" s="3">
        <v>21.8099167079999</v>
      </c>
      <c r="AD6" s="3">
        <v>21.8099167079999</v>
      </c>
      <c r="AE6" s="3">
        <v>22.184450624998099</v>
      </c>
      <c r="AF6" s="3" t="s">
        <v>61</v>
      </c>
      <c r="AG6" s="3">
        <v>1</v>
      </c>
      <c r="AH6" s="3">
        <v>0.37320062499929901</v>
      </c>
      <c r="AI6" s="3" t="s">
        <v>48</v>
      </c>
      <c r="AJ6" s="2"/>
      <c r="AK6" s="2"/>
      <c r="AL6" s="2"/>
      <c r="AM6" s="2"/>
      <c r="AN6" s="3" t="s">
        <v>56</v>
      </c>
      <c r="AO6" s="3">
        <v>1</v>
      </c>
      <c r="AP6" s="3" t="s">
        <v>62</v>
      </c>
      <c r="AQ6" s="3" t="s">
        <v>51</v>
      </c>
      <c r="AR6" s="2"/>
      <c r="AS6" s="3" t="s">
        <v>52</v>
      </c>
      <c r="AT6" s="3">
        <v>119.861679618499</v>
      </c>
      <c r="AU6" s="3" t="s">
        <v>63</v>
      </c>
    </row>
    <row r="7" spans="1:47" x14ac:dyDescent="0.2">
      <c r="A7" s="1" t="s">
        <v>54</v>
      </c>
      <c r="B7" s="3" t="s">
        <v>60</v>
      </c>
      <c r="C7" s="3" t="s">
        <v>59</v>
      </c>
      <c r="D7" s="3" t="s">
        <v>61</v>
      </c>
      <c r="E7" s="3">
        <v>4</v>
      </c>
      <c r="F7" s="3">
        <v>0</v>
      </c>
      <c r="G7" s="3">
        <v>1</v>
      </c>
      <c r="H7" s="3" t="s">
        <v>61</v>
      </c>
      <c r="I7" s="3">
        <v>1</v>
      </c>
      <c r="J7" s="3">
        <v>0.27542612500110403</v>
      </c>
      <c r="K7" s="3" t="s">
        <v>48</v>
      </c>
      <c r="L7" s="3">
        <v>1</v>
      </c>
      <c r="M7" s="3">
        <v>0</v>
      </c>
      <c r="N7" s="3">
        <v>4</v>
      </c>
      <c r="O7" s="3">
        <v>3</v>
      </c>
      <c r="P7" s="3">
        <v>22.192966374997901</v>
      </c>
      <c r="Q7" s="2"/>
      <c r="R7" s="2"/>
      <c r="S7" s="2"/>
      <c r="T7" s="2"/>
      <c r="U7" s="2"/>
      <c r="V7" s="2"/>
      <c r="W7" s="2"/>
      <c r="X7" s="2"/>
      <c r="Y7" s="2"/>
      <c r="Z7" s="3">
        <v>22.1850192499987</v>
      </c>
      <c r="AA7" s="3">
        <v>22.192966374997901</v>
      </c>
      <c r="AB7" s="3">
        <v>22.676614333002401</v>
      </c>
      <c r="AC7" s="3">
        <v>22.676614333002401</v>
      </c>
      <c r="AD7" s="3">
        <v>22.676614333002401</v>
      </c>
      <c r="AE7" s="3">
        <v>22.960224499998699</v>
      </c>
      <c r="AF7" s="3" t="s">
        <v>61</v>
      </c>
      <c r="AG7" s="3">
        <v>1</v>
      </c>
      <c r="AH7" s="3">
        <v>0.27542612500110403</v>
      </c>
      <c r="AI7" s="3" t="s">
        <v>48</v>
      </c>
      <c r="AJ7" s="2"/>
      <c r="AK7" s="2"/>
      <c r="AL7" s="2"/>
      <c r="AM7" s="2"/>
      <c r="AN7" s="3" t="s">
        <v>56</v>
      </c>
      <c r="AO7" s="3">
        <v>1</v>
      </c>
      <c r="AP7" s="3" t="s">
        <v>62</v>
      </c>
      <c r="AQ7" s="3" t="s">
        <v>51</v>
      </c>
      <c r="AR7" s="2"/>
      <c r="AS7" s="3" t="s">
        <v>52</v>
      </c>
      <c r="AT7" s="3">
        <v>119.861679618499</v>
      </c>
      <c r="AU7" s="3" t="s">
        <v>63</v>
      </c>
    </row>
    <row r="8" spans="1:47" x14ac:dyDescent="0.2">
      <c r="A8" s="1" t="s">
        <v>54</v>
      </c>
      <c r="B8" s="3" t="s">
        <v>55</v>
      </c>
      <c r="C8" s="3" t="s">
        <v>56</v>
      </c>
      <c r="D8" s="3" t="s">
        <v>57</v>
      </c>
      <c r="E8" s="3">
        <v>5</v>
      </c>
      <c r="F8" s="3">
        <v>1</v>
      </c>
      <c r="G8" s="3">
        <v>1</v>
      </c>
      <c r="H8" s="3" t="s">
        <v>57</v>
      </c>
      <c r="I8" s="3">
        <v>1</v>
      </c>
      <c r="J8" s="3">
        <v>0.25253125000017501</v>
      </c>
      <c r="K8" s="3" t="s">
        <v>48</v>
      </c>
      <c r="L8" s="3">
        <v>1</v>
      </c>
      <c r="M8" s="3">
        <v>1</v>
      </c>
      <c r="N8" s="3">
        <v>5</v>
      </c>
      <c r="O8" s="3">
        <v>2</v>
      </c>
      <c r="P8" s="3">
        <v>22.967989917000502</v>
      </c>
      <c r="Q8" s="2"/>
      <c r="R8" s="2"/>
      <c r="S8" s="2"/>
      <c r="T8" s="2"/>
      <c r="U8" s="2"/>
      <c r="V8" s="2"/>
      <c r="W8" s="2"/>
      <c r="X8" s="2"/>
      <c r="Y8" s="2"/>
      <c r="Z8" s="3">
        <v>22.960374499998601</v>
      </c>
      <c r="AA8" s="3">
        <v>22.967989917000502</v>
      </c>
      <c r="AB8" s="3">
        <v>23.451524707998001</v>
      </c>
      <c r="AC8" s="3">
        <v>23.451524707998001</v>
      </c>
      <c r="AD8" s="3">
        <v>23.451524707998001</v>
      </c>
      <c r="AE8" s="3">
        <v>23.710228666997899</v>
      </c>
      <c r="AF8" s="3" t="s">
        <v>57</v>
      </c>
      <c r="AG8" s="3">
        <v>1</v>
      </c>
      <c r="AH8" s="3">
        <v>0.25253125000017501</v>
      </c>
      <c r="AI8" s="3" t="s">
        <v>48</v>
      </c>
      <c r="AJ8" s="2"/>
      <c r="AK8" s="2"/>
      <c r="AL8" s="2"/>
      <c r="AM8" s="2"/>
      <c r="AN8" s="3" t="s">
        <v>56</v>
      </c>
      <c r="AO8" s="3">
        <v>1</v>
      </c>
      <c r="AP8" s="3" t="s">
        <v>62</v>
      </c>
      <c r="AQ8" s="3" t="s">
        <v>51</v>
      </c>
      <c r="AR8" s="2"/>
      <c r="AS8" s="3" t="s">
        <v>52</v>
      </c>
      <c r="AT8" s="3">
        <v>119.861679618499</v>
      </c>
      <c r="AU8" s="3" t="s">
        <v>63</v>
      </c>
    </row>
    <row r="9" spans="1:47" x14ac:dyDescent="0.2">
      <c r="A9" s="1" t="s">
        <v>58</v>
      </c>
      <c r="B9" s="3" t="s">
        <v>60</v>
      </c>
      <c r="C9" s="3" t="s">
        <v>56</v>
      </c>
      <c r="D9" s="3" t="s">
        <v>61</v>
      </c>
      <c r="E9" s="3">
        <v>6</v>
      </c>
      <c r="F9" s="3">
        <v>2</v>
      </c>
      <c r="G9" s="3">
        <v>1</v>
      </c>
      <c r="H9" s="3" t="s">
        <v>61</v>
      </c>
      <c r="I9" s="3">
        <v>1</v>
      </c>
      <c r="J9" s="3">
        <v>0.34547495799779399</v>
      </c>
      <c r="K9" s="3" t="s">
        <v>48</v>
      </c>
      <c r="L9" s="3">
        <v>1</v>
      </c>
      <c r="M9" s="3">
        <v>2</v>
      </c>
      <c r="N9" s="3">
        <v>6</v>
      </c>
      <c r="O9" s="3">
        <v>1</v>
      </c>
      <c r="P9" s="3">
        <v>23.7182169580046</v>
      </c>
      <c r="Q9" s="2"/>
      <c r="R9" s="2"/>
      <c r="S9" s="2"/>
      <c r="T9" s="2"/>
      <c r="U9" s="2"/>
      <c r="V9" s="2"/>
      <c r="W9" s="2"/>
      <c r="X9" s="2"/>
      <c r="Y9" s="2"/>
      <c r="Z9" s="3">
        <v>23.710819207997702</v>
      </c>
      <c r="AA9" s="3">
        <v>23.7182169580046</v>
      </c>
      <c r="AB9" s="3">
        <v>24.201532708000698</v>
      </c>
      <c r="AC9" s="3">
        <v>24.201532708000698</v>
      </c>
      <c r="AD9" s="3">
        <v>24.201532708000698</v>
      </c>
      <c r="AE9" s="3">
        <v>24.552250250002501</v>
      </c>
      <c r="AF9" s="3" t="s">
        <v>61</v>
      </c>
      <c r="AG9" s="3">
        <v>1</v>
      </c>
      <c r="AH9" s="3">
        <v>0.34547495799779399</v>
      </c>
      <c r="AI9" s="3" t="s">
        <v>48</v>
      </c>
      <c r="AJ9" s="2"/>
      <c r="AK9" s="2"/>
      <c r="AL9" s="2"/>
      <c r="AM9" s="2"/>
      <c r="AN9" s="3" t="s">
        <v>56</v>
      </c>
      <c r="AO9" s="3">
        <v>1</v>
      </c>
      <c r="AP9" s="3" t="s">
        <v>62</v>
      </c>
      <c r="AQ9" s="3" t="s">
        <v>51</v>
      </c>
      <c r="AR9" s="2"/>
      <c r="AS9" s="3" t="s">
        <v>52</v>
      </c>
      <c r="AT9" s="3">
        <v>119.861679618499</v>
      </c>
      <c r="AU9" s="3" t="s">
        <v>63</v>
      </c>
    </row>
    <row r="10" spans="1:47" x14ac:dyDescent="0.2">
      <c r="A10" s="1" t="s">
        <v>58</v>
      </c>
      <c r="B10" s="3" t="s">
        <v>55</v>
      </c>
      <c r="C10" s="3" t="s">
        <v>59</v>
      </c>
      <c r="D10" s="3" t="s">
        <v>57</v>
      </c>
      <c r="E10" s="3">
        <v>7</v>
      </c>
      <c r="F10" s="3">
        <v>3</v>
      </c>
      <c r="G10" s="3">
        <v>1</v>
      </c>
      <c r="H10" s="3" t="s">
        <v>57</v>
      </c>
      <c r="I10" s="3">
        <v>1</v>
      </c>
      <c r="J10" s="3">
        <v>0.54793375000008404</v>
      </c>
      <c r="K10" s="3" t="s">
        <v>48</v>
      </c>
      <c r="L10" s="3">
        <v>1</v>
      </c>
      <c r="M10" s="3">
        <v>3</v>
      </c>
      <c r="N10" s="3">
        <v>7</v>
      </c>
      <c r="O10" s="3">
        <v>0</v>
      </c>
      <c r="P10" s="3">
        <v>24.559881000000999</v>
      </c>
      <c r="Q10" s="2"/>
      <c r="R10" s="2"/>
      <c r="S10" s="2"/>
      <c r="T10" s="2"/>
      <c r="U10" s="2"/>
      <c r="V10" s="2"/>
      <c r="W10" s="2"/>
      <c r="X10" s="2"/>
      <c r="Y10" s="2"/>
      <c r="Z10" s="3">
        <v>24.5523857500011</v>
      </c>
      <c r="AA10" s="3">
        <v>24.559881000000999</v>
      </c>
      <c r="AB10" s="3">
        <v>25.051059458004602</v>
      </c>
      <c r="AC10" s="3">
        <v>25.051059458004602</v>
      </c>
      <c r="AD10" s="3">
        <v>25.051059458004602</v>
      </c>
      <c r="AE10" s="3">
        <v>25.6017157079987</v>
      </c>
      <c r="AF10" s="3" t="s">
        <v>57</v>
      </c>
      <c r="AG10" s="3">
        <v>1</v>
      </c>
      <c r="AH10" s="3">
        <v>0.54793375000008404</v>
      </c>
      <c r="AI10" s="3" t="s">
        <v>48</v>
      </c>
      <c r="AJ10" s="2"/>
      <c r="AK10" s="2"/>
      <c r="AL10" s="2"/>
      <c r="AM10" s="2"/>
      <c r="AN10" s="3" t="s">
        <v>56</v>
      </c>
      <c r="AO10" s="3">
        <v>1</v>
      </c>
      <c r="AP10" s="3" t="s">
        <v>62</v>
      </c>
      <c r="AQ10" s="3" t="s">
        <v>51</v>
      </c>
      <c r="AR10" s="2"/>
      <c r="AS10" s="3" t="s">
        <v>52</v>
      </c>
      <c r="AT10" s="3">
        <v>119.861679618499</v>
      </c>
      <c r="AU10" s="3" t="s">
        <v>63</v>
      </c>
    </row>
    <row r="11" spans="1:47" x14ac:dyDescent="0.2">
      <c r="A11" s="1" t="s">
        <v>58</v>
      </c>
      <c r="B11" s="3" t="s">
        <v>60</v>
      </c>
      <c r="C11" s="3" t="s">
        <v>56</v>
      </c>
      <c r="D11" s="3" t="s">
        <v>61</v>
      </c>
      <c r="E11" s="3">
        <v>8</v>
      </c>
      <c r="F11" s="3">
        <v>0</v>
      </c>
      <c r="G11" s="3">
        <v>2</v>
      </c>
      <c r="H11" s="3" t="s">
        <v>61</v>
      </c>
      <c r="I11" s="3">
        <v>1</v>
      </c>
      <c r="J11" s="3">
        <v>0.49176354100200098</v>
      </c>
      <c r="K11" s="3" t="s">
        <v>48</v>
      </c>
      <c r="L11" s="3">
        <v>2</v>
      </c>
      <c r="M11" s="3">
        <v>0</v>
      </c>
      <c r="N11" s="3">
        <v>8</v>
      </c>
      <c r="O11" s="3">
        <v>1</v>
      </c>
      <c r="P11" s="3">
        <v>25.609846375002199</v>
      </c>
      <c r="Q11" s="2"/>
      <c r="R11" s="2"/>
      <c r="S11" s="2"/>
      <c r="T11" s="2"/>
      <c r="U11" s="2"/>
      <c r="V11" s="2"/>
      <c r="W11" s="2"/>
      <c r="X11" s="2"/>
      <c r="Y11" s="2"/>
      <c r="Z11" s="3">
        <v>25.601847666999699</v>
      </c>
      <c r="AA11" s="3">
        <v>25.609846375002199</v>
      </c>
      <c r="AB11" s="3">
        <v>26.093180542004099</v>
      </c>
      <c r="AC11" s="3">
        <v>26.093180542004099</v>
      </c>
      <c r="AD11" s="3">
        <v>26.093180542004099</v>
      </c>
      <c r="AE11" s="3">
        <v>26.5928152920023</v>
      </c>
      <c r="AF11" s="3" t="s">
        <v>61</v>
      </c>
      <c r="AG11" s="3">
        <v>1</v>
      </c>
      <c r="AH11" s="3">
        <v>0.49176354100200098</v>
      </c>
      <c r="AI11" s="3" t="s">
        <v>48</v>
      </c>
      <c r="AJ11" s="2"/>
      <c r="AK11" s="2"/>
      <c r="AL11" s="2"/>
      <c r="AM11" s="2"/>
      <c r="AN11" s="3" t="s">
        <v>56</v>
      </c>
      <c r="AO11" s="3">
        <v>1</v>
      </c>
      <c r="AP11" s="3" t="s">
        <v>62</v>
      </c>
      <c r="AQ11" s="3" t="s">
        <v>51</v>
      </c>
      <c r="AR11" s="2"/>
      <c r="AS11" s="3" t="s">
        <v>52</v>
      </c>
      <c r="AT11" s="3">
        <v>119.861679618499</v>
      </c>
      <c r="AU11" s="3" t="s">
        <v>63</v>
      </c>
    </row>
    <row r="12" spans="1:47" x14ac:dyDescent="0.2">
      <c r="A12" s="1" t="s">
        <v>58</v>
      </c>
      <c r="B12" s="3" t="s">
        <v>55</v>
      </c>
      <c r="C12" s="3" t="s">
        <v>59</v>
      </c>
      <c r="D12" s="3" t="s">
        <v>57</v>
      </c>
      <c r="E12" s="3">
        <v>9</v>
      </c>
      <c r="F12" s="3">
        <v>1</v>
      </c>
      <c r="G12" s="3">
        <v>2</v>
      </c>
      <c r="H12" s="3" t="s">
        <v>57</v>
      </c>
      <c r="I12" s="3">
        <v>1</v>
      </c>
      <c r="J12" s="3">
        <v>0.80104525000206195</v>
      </c>
      <c r="K12" s="3" t="s">
        <v>48</v>
      </c>
      <c r="L12" s="3">
        <v>2</v>
      </c>
      <c r="M12" s="3">
        <v>1</v>
      </c>
      <c r="N12" s="3">
        <v>9</v>
      </c>
      <c r="O12" s="3">
        <v>0</v>
      </c>
      <c r="P12" s="3">
        <v>26.600640791999499</v>
      </c>
      <c r="Q12" s="2"/>
      <c r="R12" s="2"/>
      <c r="S12" s="2"/>
      <c r="T12" s="2"/>
      <c r="U12" s="2"/>
      <c r="V12" s="2"/>
      <c r="W12" s="2"/>
      <c r="X12" s="2"/>
      <c r="Y12" s="2"/>
      <c r="Z12" s="3">
        <v>26.592948917001198</v>
      </c>
      <c r="AA12" s="3">
        <v>26.600640791999499</v>
      </c>
      <c r="AB12" s="3">
        <v>27.0848684169978</v>
      </c>
      <c r="AC12" s="3">
        <v>27.0848684169978</v>
      </c>
      <c r="AD12" s="3">
        <v>27.0848684169978</v>
      </c>
      <c r="AE12" s="3">
        <v>27.893390167002501</v>
      </c>
      <c r="AF12" s="3" t="s">
        <v>57</v>
      </c>
      <c r="AG12" s="3">
        <v>1</v>
      </c>
      <c r="AH12" s="3">
        <v>0.80104525000206195</v>
      </c>
      <c r="AI12" s="3" t="s">
        <v>48</v>
      </c>
      <c r="AJ12" s="2"/>
      <c r="AK12" s="2"/>
      <c r="AL12" s="2"/>
      <c r="AM12" s="2"/>
      <c r="AN12" s="3" t="s">
        <v>56</v>
      </c>
      <c r="AO12" s="3">
        <v>1</v>
      </c>
      <c r="AP12" s="3" t="s">
        <v>62</v>
      </c>
      <c r="AQ12" s="3" t="s">
        <v>51</v>
      </c>
      <c r="AR12" s="2"/>
      <c r="AS12" s="3" t="s">
        <v>52</v>
      </c>
      <c r="AT12" s="3">
        <v>119.861679618499</v>
      </c>
      <c r="AU12" s="3" t="s">
        <v>63</v>
      </c>
    </row>
    <row r="13" spans="1:47" x14ac:dyDescent="0.2">
      <c r="A13" s="1" t="s">
        <v>54</v>
      </c>
      <c r="B13" s="3" t="s">
        <v>55</v>
      </c>
      <c r="C13" s="3" t="s">
        <v>56</v>
      </c>
      <c r="D13" s="3" t="s">
        <v>57</v>
      </c>
      <c r="E13" s="3">
        <v>10</v>
      </c>
      <c r="F13" s="3">
        <v>2</v>
      </c>
      <c r="G13" s="3">
        <v>2</v>
      </c>
      <c r="H13" s="3" t="s">
        <v>57</v>
      </c>
      <c r="I13" s="3">
        <v>1</v>
      </c>
      <c r="J13" s="3">
        <v>0.50999204200343196</v>
      </c>
      <c r="K13" s="3" t="s">
        <v>48</v>
      </c>
      <c r="L13" s="3">
        <v>2</v>
      </c>
      <c r="M13" s="3">
        <v>2</v>
      </c>
      <c r="N13" s="3">
        <v>10</v>
      </c>
      <c r="O13" s="3">
        <v>2</v>
      </c>
      <c r="P13" s="3">
        <v>27.901510583004001</v>
      </c>
      <c r="Q13" s="2"/>
      <c r="R13" s="2"/>
      <c r="S13" s="2"/>
      <c r="T13" s="2"/>
      <c r="U13" s="2"/>
      <c r="V13" s="2"/>
      <c r="W13" s="2"/>
      <c r="X13" s="2"/>
      <c r="Y13" s="2"/>
      <c r="Z13" s="3">
        <v>27.894013208002399</v>
      </c>
      <c r="AA13" s="3">
        <v>27.901510583004001</v>
      </c>
      <c r="AB13" s="3">
        <v>28.384890499997699</v>
      </c>
      <c r="AC13" s="3">
        <v>28.384890499997699</v>
      </c>
      <c r="AD13" s="3">
        <v>28.384890499997699</v>
      </c>
      <c r="AE13" s="3">
        <v>28.9007498749997</v>
      </c>
      <c r="AF13" s="3" t="s">
        <v>57</v>
      </c>
      <c r="AG13" s="3">
        <v>1</v>
      </c>
      <c r="AH13" s="3">
        <v>0.50999204200343196</v>
      </c>
      <c r="AI13" s="3" t="s">
        <v>48</v>
      </c>
      <c r="AJ13" s="2"/>
      <c r="AK13" s="2"/>
      <c r="AL13" s="2"/>
      <c r="AM13" s="2"/>
      <c r="AN13" s="3" t="s">
        <v>56</v>
      </c>
      <c r="AO13" s="3">
        <v>1</v>
      </c>
      <c r="AP13" s="3" t="s">
        <v>62</v>
      </c>
      <c r="AQ13" s="3" t="s">
        <v>51</v>
      </c>
      <c r="AR13" s="2"/>
      <c r="AS13" s="3" t="s">
        <v>52</v>
      </c>
      <c r="AT13" s="3">
        <v>119.861679618499</v>
      </c>
      <c r="AU13" s="3" t="s">
        <v>63</v>
      </c>
    </row>
    <row r="14" spans="1:47" x14ac:dyDescent="0.2">
      <c r="A14" s="1" t="s">
        <v>54</v>
      </c>
      <c r="B14" s="3" t="s">
        <v>60</v>
      </c>
      <c r="C14" s="3" t="s">
        <v>59</v>
      </c>
      <c r="D14" s="3" t="s">
        <v>61</v>
      </c>
      <c r="E14" s="3">
        <v>11</v>
      </c>
      <c r="F14" s="3">
        <v>3</v>
      </c>
      <c r="G14" s="3">
        <v>2</v>
      </c>
      <c r="H14" s="3" t="s">
        <v>61</v>
      </c>
      <c r="I14" s="3">
        <v>1</v>
      </c>
      <c r="J14" s="3">
        <v>1.0456258330014001</v>
      </c>
      <c r="K14" s="3" t="s">
        <v>48</v>
      </c>
      <c r="L14" s="3">
        <v>2</v>
      </c>
      <c r="M14" s="3">
        <v>3</v>
      </c>
      <c r="N14" s="3">
        <v>11</v>
      </c>
      <c r="O14" s="3">
        <v>3</v>
      </c>
      <c r="P14" s="3">
        <v>28.909190833001102</v>
      </c>
      <c r="Q14" s="2"/>
      <c r="R14" s="2"/>
      <c r="S14" s="2"/>
      <c r="T14" s="2"/>
      <c r="U14" s="2"/>
      <c r="V14" s="2"/>
      <c r="W14" s="2"/>
      <c r="X14" s="2"/>
      <c r="Y14" s="2"/>
      <c r="Z14" s="3">
        <v>28.900880332999801</v>
      </c>
      <c r="AA14" s="3">
        <v>28.909190833001102</v>
      </c>
      <c r="AB14" s="3">
        <v>29.3931896249997</v>
      </c>
      <c r="AC14" s="3">
        <v>29.3931896249997</v>
      </c>
      <c r="AD14" s="3">
        <v>29.3931896249997</v>
      </c>
      <c r="AE14" s="3">
        <v>30.443172667000901</v>
      </c>
      <c r="AF14" s="3" t="s">
        <v>61</v>
      </c>
      <c r="AG14" s="3">
        <v>1</v>
      </c>
      <c r="AH14" s="3">
        <v>1.0456258330014001</v>
      </c>
      <c r="AI14" s="3" t="s">
        <v>48</v>
      </c>
      <c r="AJ14" s="2"/>
      <c r="AK14" s="2"/>
      <c r="AL14" s="2"/>
      <c r="AM14" s="2"/>
      <c r="AN14" s="3" t="s">
        <v>56</v>
      </c>
      <c r="AO14" s="3">
        <v>1</v>
      </c>
      <c r="AP14" s="3" t="s">
        <v>62</v>
      </c>
      <c r="AQ14" s="3" t="s">
        <v>51</v>
      </c>
      <c r="AR14" s="2"/>
      <c r="AS14" s="3" t="s">
        <v>52</v>
      </c>
      <c r="AT14" s="3">
        <v>119.861679618499</v>
      </c>
      <c r="AU14" s="3" t="s">
        <v>63</v>
      </c>
    </row>
    <row r="15" spans="1:47" x14ac:dyDescent="0.2">
      <c r="A15" s="1" t="s">
        <v>54</v>
      </c>
      <c r="B15" s="3" t="s">
        <v>60</v>
      </c>
      <c r="C15" s="3" t="s">
        <v>59</v>
      </c>
      <c r="D15" s="3" t="s">
        <v>61</v>
      </c>
      <c r="E15" s="3">
        <v>12</v>
      </c>
      <c r="F15" s="3">
        <v>0</v>
      </c>
      <c r="G15" s="3">
        <v>3</v>
      </c>
      <c r="H15" s="3" t="s">
        <v>61</v>
      </c>
      <c r="I15" s="3">
        <v>1</v>
      </c>
      <c r="J15" s="3">
        <v>0.39122283399774499</v>
      </c>
      <c r="K15" s="3" t="s">
        <v>48</v>
      </c>
      <c r="L15" s="3">
        <v>3</v>
      </c>
      <c r="M15" s="3">
        <v>0</v>
      </c>
      <c r="N15" s="3">
        <v>12</v>
      </c>
      <c r="O15" s="3">
        <v>3</v>
      </c>
      <c r="P15" s="3">
        <v>30.451545957999802</v>
      </c>
      <c r="Q15" s="2"/>
      <c r="R15" s="2"/>
      <c r="S15" s="2"/>
      <c r="T15" s="2"/>
      <c r="U15" s="2"/>
      <c r="V15" s="2"/>
      <c r="W15" s="2"/>
      <c r="X15" s="2"/>
      <c r="Y15" s="2"/>
      <c r="Z15" s="3">
        <v>30.4433368750033</v>
      </c>
      <c r="AA15" s="3">
        <v>30.451545957999802</v>
      </c>
      <c r="AB15" s="3">
        <v>30.9346763330032</v>
      </c>
      <c r="AC15" s="3">
        <v>30.9346763330032</v>
      </c>
      <c r="AD15" s="3">
        <v>30.9346763330032</v>
      </c>
      <c r="AE15" s="3">
        <v>31.326718625001401</v>
      </c>
      <c r="AF15" s="3" t="s">
        <v>61</v>
      </c>
      <c r="AG15" s="3">
        <v>1</v>
      </c>
      <c r="AH15" s="3">
        <v>0.39122283399774499</v>
      </c>
      <c r="AI15" s="3" t="s">
        <v>48</v>
      </c>
      <c r="AJ15" s="2"/>
      <c r="AK15" s="2"/>
      <c r="AL15" s="2"/>
      <c r="AM15" s="2"/>
      <c r="AN15" s="3" t="s">
        <v>56</v>
      </c>
      <c r="AO15" s="3">
        <v>1</v>
      </c>
      <c r="AP15" s="3" t="s">
        <v>62</v>
      </c>
      <c r="AQ15" s="3" t="s">
        <v>51</v>
      </c>
      <c r="AR15" s="2"/>
      <c r="AS15" s="3" t="s">
        <v>52</v>
      </c>
      <c r="AT15" s="3">
        <v>119.861679618499</v>
      </c>
      <c r="AU15" s="3" t="s">
        <v>63</v>
      </c>
    </row>
    <row r="16" spans="1:47" x14ac:dyDescent="0.2">
      <c r="A16" s="1" t="s">
        <v>54</v>
      </c>
      <c r="B16" s="3" t="s">
        <v>55</v>
      </c>
      <c r="C16" s="3" t="s">
        <v>56</v>
      </c>
      <c r="D16" s="3" t="s">
        <v>57</v>
      </c>
      <c r="E16" s="3">
        <v>13</v>
      </c>
      <c r="F16" s="3">
        <v>1</v>
      </c>
      <c r="G16" s="3">
        <v>3</v>
      </c>
      <c r="H16" s="3" t="s">
        <v>57</v>
      </c>
      <c r="I16" s="3">
        <v>1</v>
      </c>
      <c r="J16" s="3">
        <v>0.59884958300244795</v>
      </c>
      <c r="K16" s="3" t="s">
        <v>48</v>
      </c>
      <c r="L16" s="3">
        <v>3</v>
      </c>
      <c r="M16" s="3">
        <v>1</v>
      </c>
      <c r="N16" s="3">
        <v>13</v>
      </c>
      <c r="O16" s="3">
        <v>2</v>
      </c>
      <c r="P16" s="3">
        <v>31.334712542004102</v>
      </c>
      <c r="Q16" s="2"/>
      <c r="R16" s="2"/>
      <c r="S16" s="2"/>
      <c r="T16" s="2"/>
      <c r="U16" s="2"/>
      <c r="V16" s="2"/>
      <c r="W16" s="2"/>
      <c r="X16" s="2"/>
      <c r="Y16" s="2"/>
      <c r="Z16" s="3">
        <v>31.3268584580001</v>
      </c>
      <c r="AA16" s="3">
        <v>31.334712542004102</v>
      </c>
      <c r="AB16" s="3">
        <v>31.818043833001902</v>
      </c>
      <c r="AC16" s="3">
        <v>31.818043833001902</v>
      </c>
      <c r="AD16" s="3">
        <v>31.818043833001902</v>
      </c>
      <c r="AE16" s="3">
        <v>32.418382916999697</v>
      </c>
      <c r="AF16" s="3" t="s">
        <v>57</v>
      </c>
      <c r="AG16" s="3">
        <v>1</v>
      </c>
      <c r="AH16" s="3">
        <v>0.59884958300244795</v>
      </c>
      <c r="AI16" s="3" t="s">
        <v>48</v>
      </c>
      <c r="AJ16" s="2"/>
      <c r="AK16" s="2"/>
      <c r="AL16" s="2"/>
      <c r="AM16" s="2"/>
      <c r="AN16" s="3" t="s">
        <v>56</v>
      </c>
      <c r="AO16" s="3">
        <v>1</v>
      </c>
      <c r="AP16" s="3" t="s">
        <v>62</v>
      </c>
      <c r="AQ16" s="3" t="s">
        <v>51</v>
      </c>
      <c r="AR16" s="2"/>
      <c r="AS16" s="3" t="s">
        <v>52</v>
      </c>
      <c r="AT16" s="3">
        <v>119.861679618499</v>
      </c>
      <c r="AU16" s="3" t="s">
        <v>63</v>
      </c>
    </row>
    <row r="17" spans="1:47" x14ac:dyDescent="0.2">
      <c r="A17" s="1" t="s">
        <v>58</v>
      </c>
      <c r="B17" s="3" t="s">
        <v>60</v>
      </c>
      <c r="C17" s="3" t="s">
        <v>56</v>
      </c>
      <c r="D17" s="3" t="s">
        <v>61</v>
      </c>
      <c r="E17" s="3">
        <v>14</v>
      </c>
      <c r="F17" s="3">
        <v>2</v>
      </c>
      <c r="G17" s="3">
        <v>3</v>
      </c>
      <c r="H17" s="3" t="s">
        <v>61</v>
      </c>
      <c r="I17" s="3">
        <v>1</v>
      </c>
      <c r="J17" s="3">
        <v>0.95816954099427698</v>
      </c>
      <c r="K17" s="3" t="s">
        <v>48</v>
      </c>
      <c r="L17" s="3">
        <v>3</v>
      </c>
      <c r="M17" s="3">
        <v>2</v>
      </c>
      <c r="N17" s="3">
        <v>14</v>
      </c>
      <c r="O17" s="3">
        <v>1</v>
      </c>
      <c r="P17" s="3">
        <v>32.426284749999503</v>
      </c>
      <c r="Q17" s="2"/>
      <c r="R17" s="2"/>
      <c r="S17" s="2"/>
      <c r="T17" s="2"/>
      <c r="U17" s="2"/>
      <c r="V17" s="2"/>
      <c r="W17" s="2"/>
      <c r="X17" s="2"/>
      <c r="Y17" s="2"/>
      <c r="Z17" s="3">
        <v>32.419013667000399</v>
      </c>
      <c r="AA17" s="3">
        <v>32.426284749999503</v>
      </c>
      <c r="AB17" s="3">
        <v>32.909640750003703</v>
      </c>
      <c r="AC17" s="3">
        <v>32.909640750003703</v>
      </c>
      <c r="AD17" s="3">
        <v>32.909640750003703</v>
      </c>
      <c r="AE17" s="3">
        <v>33.868264000004302</v>
      </c>
      <c r="AF17" s="3" t="s">
        <v>61</v>
      </c>
      <c r="AG17" s="3">
        <v>1</v>
      </c>
      <c r="AH17" s="3">
        <v>0.95816954099427698</v>
      </c>
      <c r="AI17" s="3" t="s">
        <v>48</v>
      </c>
      <c r="AJ17" s="2"/>
      <c r="AK17" s="2"/>
      <c r="AL17" s="2"/>
      <c r="AM17" s="2"/>
      <c r="AN17" s="3" t="s">
        <v>56</v>
      </c>
      <c r="AO17" s="3">
        <v>1</v>
      </c>
      <c r="AP17" s="3" t="s">
        <v>62</v>
      </c>
      <c r="AQ17" s="3" t="s">
        <v>51</v>
      </c>
      <c r="AR17" s="2"/>
      <c r="AS17" s="3" t="s">
        <v>52</v>
      </c>
      <c r="AT17" s="3">
        <v>119.861679618499</v>
      </c>
      <c r="AU17" s="3" t="s">
        <v>63</v>
      </c>
    </row>
    <row r="18" spans="1:47" x14ac:dyDescent="0.2">
      <c r="A18" s="1" t="s">
        <v>58</v>
      </c>
      <c r="B18" s="3" t="s">
        <v>55</v>
      </c>
      <c r="C18" s="3" t="s">
        <v>59</v>
      </c>
      <c r="D18" s="3" t="s">
        <v>57</v>
      </c>
      <c r="E18" s="3">
        <v>15</v>
      </c>
      <c r="F18" s="3">
        <v>3</v>
      </c>
      <c r="G18" s="3">
        <v>3</v>
      </c>
      <c r="H18" s="3" t="s">
        <v>57</v>
      </c>
      <c r="I18" s="3">
        <v>1</v>
      </c>
      <c r="J18" s="3">
        <v>0.88455883300048299</v>
      </c>
      <c r="K18" s="3" t="s">
        <v>48</v>
      </c>
      <c r="L18" s="3">
        <v>3</v>
      </c>
      <c r="M18" s="3">
        <v>3</v>
      </c>
      <c r="N18" s="3">
        <v>15</v>
      </c>
      <c r="O18" s="3">
        <v>0</v>
      </c>
      <c r="P18" s="3">
        <v>33.876456666999701</v>
      </c>
      <c r="Q18" s="2"/>
      <c r="R18" s="2"/>
      <c r="S18" s="2"/>
      <c r="T18" s="2"/>
      <c r="U18" s="2"/>
      <c r="V18" s="2"/>
      <c r="W18" s="2"/>
      <c r="X18" s="2"/>
      <c r="Y18" s="2"/>
      <c r="Z18" s="3">
        <v>33.868415541997798</v>
      </c>
      <c r="AA18" s="3">
        <v>33.876456666999701</v>
      </c>
      <c r="AB18" s="3">
        <v>34.359166667003599</v>
      </c>
      <c r="AC18" s="3">
        <v>34.359166667003599</v>
      </c>
      <c r="AD18" s="3">
        <v>34.359166667003599</v>
      </c>
      <c r="AE18" s="3">
        <v>35.251018250004599</v>
      </c>
      <c r="AF18" s="3" t="s">
        <v>57</v>
      </c>
      <c r="AG18" s="3">
        <v>1</v>
      </c>
      <c r="AH18" s="3">
        <v>0.88455883300048299</v>
      </c>
      <c r="AI18" s="3" t="s">
        <v>48</v>
      </c>
      <c r="AJ18" s="2"/>
      <c r="AK18" s="2"/>
      <c r="AL18" s="2"/>
      <c r="AM18" s="2"/>
      <c r="AN18" s="3" t="s">
        <v>56</v>
      </c>
      <c r="AO18" s="3">
        <v>1</v>
      </c>
      <c r="AP18" s="3" t="s">
        <v>62</v>
      </c>
      <c r="AQ18" s="3" t="s">
        <v>51</v>
      </c>
      <c r="AR18" s="2"/>
      <c r="AS18" s="3" t="s">
        <v>52</v>
      </c>
      <c r="AT18" s="3">
        <v>119.861679618499</v>
      </c>
      <c r="AU18" s="3" t="s">
        <v>63</v>
      </c>
    </row>
    <row r="19" spans="1:47" x14ac:dyDescent="0.2">
      <c r="A19" s="1" t="s">
        <v>54</v>
      </c>
      <c r="B19" s="3" t="s">
        <v>55</v>
      </c>
      <c r="C19" s="3" t="s">
        <v>56</v>
      </c>
      <c r="D19" s="3" t="s">
        <v>57</v>
      </c>
      <c r="E19" s="3">
        <v>16</v>
      </c>
      <c r="F19" s="3">
        <v>0</v>
      </c>
      <c r="G19" s="3">
        <v>4</v>
      </c>
      <c r="H19" s="3" t="s">
        <v>61</v>
      </c>
      <c r="I19" s="3">
        <v>0</v>
      </c>
      <c r="J19" s="3">
        <v>1.0334610409991001</v>
      </c>
      <c r="K19" s="3" t="s">
        <v>48</v>
      </c>
      <c r="L19" s="3">
        <v>4</v>
      </c>
      <c r="M19" s="3">
        <v>0</v>
      </c>
      <c r="N19" s="3">
        <v>16</v>
      </c>
      <c r="O19" s="3">
        <v>2</v>
      </c>
      <c r="P19" s="3">
        <v>35.259598542004802</v>
      </c>
      <c r="Q19" s="2"/>
      <c r="R19" s="2"/>
      <c r="S19" s="2"/>
      <c r="T19" s="2"/>
      <c r="U19" s="2"/>
      <c r="V19" s="2"/>
      <c r="W19" s="2"/>
      <c r="X19" s="2"/>
      <c r="Y19" s="2"/>
      <c r="Z19" s="3">
        <v>35.251783457999402</v>
      </c>
      <c r="AA19" s="3">
        <v>35.259598542004802</v>
      </c>
      <c r="AB19" s="3">
        <v>35.743098833001604</v>
      </c>
      <c r="AC19" s="3">
        <v>35.743098833001604</v>
      </c>
      <c r="AD19" s="3">
        <v>35.743098833001604</v>
      </c>
      <c r="AE19" s="3">
        <v>36.784682750003398</v>
      </c>
      <c r="AF19" s="3" t="s">
        <v>61</v>
      </c>
      <c r="AG19" s="3">
        <v>0</v>
      </c>
      <c r="AH19" s="3">
        <v>1.0334610409991001</v>
      </c>
      <c r="AI19" s="3" t="s">
        <v>48</v>
      </c>
      <c r="AJ19" s="2"/>
      <c r="AK19" s="2"/>
      <c r="AL19" s="2"/>
      <c r="AM19" s="2"/>
      <c r="AN19" s="3" t="s">
        <v>56</v>
      </c>
      <c r="AO19" s="3">
        <v>1</v>
      </c>
      <c r="AP19" s="3" t="s">
        <v>62</v>
      </c>
      <c r="AQ19" s="3" t="s">
        <v>51</v>
      </c>
      <c r="AR19" s="2"/>
      <c r="AS19" s="3" t="s">
        <v>52</v>
      </c>
      <c r="AT19" s="3">
        <v>119.861679618499</v>
      </c>
      <c r="AU19" s="3" t="s">
        <v>63</v>
      </c>
    </row>
    <row r="20" spans="1:47" x14ac:dyDescent="0.2">
      <c r="A20" s="1" t="s">
        <v>54</v>
      </c>
      <c r="B20" s="3" t="s">
        <v>60</v>
      </c>
      <c r="C20" s="3" t="s">
        <v>59</v>
      </c>
      <c r="D20" s="3" t="s">
        <v>61</v>
      </c>
      <c r="E20" s="3">
        <v>17</v>
      </c>
      <c r="F20" s="3">
        <v>1</v>
      </c>
      <c r="G20" s="3">
        <v>4</v>
      </c>
      <c r="H20" s="3" t="s">
        <v>61</v>
      </c>
      <c r="I20" s="3">
        <v>1</v>
      </c>
      <c r="J20" s="3">
        <v>1.51514404200134</v>
      </c>
      <c r="K20" s="3" t="s">
        <v>48</v>
      </c>
      <c r="L20" s="3">
        <v>4</v>
      </c>
      <c r="M20" s="3">
        <v>1</v>
      </c>
      <c r="N20" s="3">
        <v>17</v>
      </c>
      <c r="O20" s="3">
        <v>3</v>
      </c>
      <c r="P20" s="3">
        <v>36.792683291998401</v>
      </c>
      <c r="Q20" s="2"/>
      <c r="R20" s="2"/>
      <c r="S20" s="2"/>
      <c r="T20" s="2"/>
      <c r="U20" s="2"/>
      <c r="V20" s="2"/>
      <c r="W20" s="2"/>
      <c r="X20" s="2"/>
      <c r="Y20" s="2"/>
      <c r="Z20" s="3">
        <v>36.784823375004599</v>
      </c>
      <c r="AA20" s="3">
        <v>36.792683291998401</v>
      </c>
      <c r="AB20" s="3">
        <v>37.276370291998298</v>
      </c>
      <c r="AC20" s="3">
        <v>37.276370291998298</v>
      </c>
      <c r="AD20" s="3">
        <v>37.276370291998298</v>
      </c>
      <c r="AE20" s="3">
        <v>38.792875332997902</v>
      </c>
      <c r="AF20" s="3" t="s">
        <v>61</v>
      </c>
      <c r="AG20" s="3">
        <v>1</v>
      </c>
      <c r="AH20" s="3">
        <v>1.51514404200134</v>
      </c>
      <c r="AI20" s="3" t="s">
        <v>48</v>
      </c>
      <c r="AJ20" s="2"/>
      <c r="AK20" s="2"/>
      <c r="AL20" s="2"/>
      <c r="AM20" s="2"/>
      <c r="AN20" s="3" t="s">
        <v>56</v>
      </c>
      <c r="AO20" s="3">
        <v>1</v>
      </c>
      <c r="AP20" s="3" t="s">
        <v>62</v>
      </c>
      <c r="AQ20" s="3" t="s">
        <v>51</v>
      </c>
      <c r="AR20" s="2"/>
      <c r="AS20" s="3" t="s">
        <v>52</v>
      </c>
      <c r="AT20" s="3">
        <v>119.861679618499</v>
      </c>
      <c r="AU20" s="3" t="s">
        <v>63</v>
      </c>
    </row>
    <row r="21" spans="1:47" x14ac:dyDescent="0.2">
      <c r="A21" s="1" t="s">
        <v>58</v>
      </c>
      <c r="B21" s="3" t="s">
        <v>60</v>
      </c>
      <c r="C21" s="3" t="s">
        <v>56</v>
      </c>
      <c r="D21" s="3" t="s">
        <v>61</v>
      </c>
      <c r="E21" s="3">
        <v>18</v>
      </c>
      <c r="F21" s="3">
        <v>2</v>
      </c>
      <c r="G21" s="3">
        <v>4</v>
      </c>
      <c r="H21" s="3" t="s">
        <v>61</v>
      </c>
      <c r="I21" s="3">
        <v>1</v>
      </c>
      <c r="J21" s="3">
        <v>1.7712746659963201</v>
      </c>
      <c r="K21" s="3" t="s">
        <v>48</v>
      </c>
      <c r="L21" s="3">
        <v>4</v>
      </c>
      <c r="M21" s="3">
        <v>2</v>
      </c>
      <c r="N21" s="3">
        <v>18</v>
      </c>
      <c r="O21" s="3">
        <v>1</v>
      </c>
      <c r="P21" s="3">
        <v>38.800922374997803</v>
      </c>
      <c r="Q21" s="2"/>
      <c r="R21" s="2"/>
      <c r="S21" s="2"/>
      <c r="T21" s="2"/>
      <c r="U21" s="2"/>
      <c r="V21" s="2"/>
      <c r="W21" s="2"/>
      <c r="X21" s="2"/>
      <c r="Y21" s="2"/>
      <c r="Z21" s="3">
        <v>38.7934873749982</v>
      </c>
      <c r="AA21" s="3">
        <v>38.800922374997803</v>
      </c>
      <c r="AB21" s="3">
        <v>39.284153500004301</v>
      </c>
      <c r="AC21" s="3">
        <v>39.284153500004301</v>
      </c>
      <c r="AD21" s="3">
        <v>39.284153500004301</v>
      </c>
      <c r="AE21" s="3">
        <v>41.059559417000898</v>
      </c>
      <c r="AF21" s="3" t="s">
        <v>61</v>
      </c>
      <c r="AG21" s="3">
        <v>1</v>
      </c>
      <c r="AH21" s="3">
        <v>1.7712746659963201</v>
      </c>
      <c r="AI21" s="3" t="s">
        <v>48</v>
      </c>
      <c r="AJ21" s="2"/>
      <c r="AK21" s="2"/>
      <c r="AL21" s="2"/>
      <c r="AM21" s="2"/>
      <c r="AN21" s="3" t="s">
        <v>56</v>
      </c>
      <c r="AO21" s="3">
        <v>1</v>
      </c>
      <c r="AP21" s="3" t="s">
        <v>62</v>
      </c>
      <c r="AQ21" s="3" t="s">
        <v>51</v>
      </c>
      <c r="AR21" s="2"/>
      <c r="AS21" s="3" t="s">
        <v>52</v>
      </c>
      <c r="AT21" s="3">
        <v>119.861679618499</v>
      </c>
      <c r="AU21" s="3" t="s">
        <v>63</v>
      </c>
    </row>
    <row r="22" spans="1:47" x14ac:dyDescent="0.2">
      <c r="A22" s="1" t="s">
        <v>58</v>
      </c>
      <c r="B22" s="3" t="s">
        <v>55</v>
      </c>
      <c r="C22" s="3" t="s">
        <v>59</v>
      </c>
      <c r="D22" s="3" t="s">
        <v>57</v>
      </c>
      <c r="E22" s="3">
        <v>19</v>
      </c>
      <c r="F22" s="3">
        <v>3</v>
      </c>
      <c r="G22" s="3">
        <v>4</v>
      </c>
      <c r="H22" s="3" t="s">
        <v>57</v>
      </c>
      <c r="I22" s="3">
        <v>1</v>
      </c>
      <c r="J22" s="3">
        <v>0.678102542005945</v>
      </c>
      <c r="K22" s="3" t="s">
        <v>48</v>
      </c>
      <c r="L22" s="3">
        <v>4</v>
      </c>
      <c r="M22" s="3">
        <v>3</v>
      </c>
      <c r="N22" s="3">
        <v>19</v>
      </c>
      <c r="O22" s="3">
        <v>0</v>
      </c>
      <c r="P22" s="3">
        <v>41.067938625004899</v>
      </c>
      <c r="Q22" s="2"/>
      <c r="R22" s="2"/>
      <c r="S22" s="2"/>
      <c r="T22" s="2"/>
      <c r="U22" s="2"/>
      <c r="V22" s="2"/>
      <c r="W22" s="2"/>
      <c r="X22" s="2"/>
      <c r="Y22" s="2"/>
      <c r="Z22" s="3">
        <v>41.059717583004399</v>
      </c>
      <c r="AA22" s="3">
        <v>41.067938625004899</v>
      </c>
      <c r="AB22" s="3">
        <v>41.551276457998</v>
      </c>
      <c r="AC22" s="3">
        <v>41.551276457998</v>
      </c>
      <c r="AD22" s="3">
        <v>41.551276457998</v>
      </c>
      <c r="AE22" s="3">
        <v>42.234880249998199</v>
      </c>
      <c r="AF22" s="3" t="s">
        <v>57</v>
      </c>
      <c r="AG22" s="3">
        <v>1</v>
      </c>
      <c r="AH22" s="3">
        <v>0.678102542005945</v>
      </c>
      <c r="AI22" s="3" t="s">
        <v>48</v>
      </c>
      <c r="AJ22" s="2"/>
      <c r="AK22" s="2"/>
      <c r="AL22" s="2"/>
      <c r="AM22" s="2"/>
      <c r="AN22" s="3" t="s">
        <v>56</v>
      </c>
      <c r="AO22" s="3">
        <v>1</v>
      </c>
      <c r="AP22" s="3" t="s">
        <v>62</v>
      </c>
      <c r="AQ22" s="3" t="s">
        <v>51</v>
      </c>
      <c r="AR22" s="2"/>
      <c r="AS22" s="3" t="s">
        <v>52</v>
      </c>
      <c r="AT22" s="3">
        <v>119.861679618499</v>
      </c>
      <c r="AU22" s="3" t="s">
        <v>63</v>
      </c>
    </row>
    <row r="23" spans="1:47" x14ac:dyDescent="0.2">
      <c r="A23" s="1" t="s">
        <v>58</v>
      </c>
      <c r="B23" s="3" t="s">
        <v>55</v>
      </c>
      <c r="C23" s="3" t="s">
        <v>59</v>
      </c>
      <c r="D23" s="3" t="s">
        <v>57</v>
      </c>
      <c r="E23" s="3">
        <v>20</v>
      </c>
      <c r="F23" s="3">
        <v>0</v>
      </c>
      <c r="G23" s="3">
        <v>5</v>
      </c>
      <c r="H23" s="3" t="s">
        <v>57</v>
      </c>
      <c r="I23" s="3">
        <v>1</v>
      </c>
      <c r="J23" s="3">
        <v>0.88297866700304395</v>
      </c>
      <c r="K23" s="3" t="s">
        <v>48</v>
      </c>
      <c r="L23" s="3">
        <v>5</v>
      </c>
      <c r="M23" s="3">
        <v>0</v>
      </c>
      <c r="N23" s="3">
        <v>20</v>
      </c>
      <c r="O23" s="3">
        <v>0</v>
      </c>
      <c r="P23" s="3">
        <v>42.242984958000299</v>
      </c>
      <c r="Q23" s="2"/>
      <c r="R23" s="2"/>
      <c r="S23" s="2"/>
      <c r="T23" s="2"/>
      <c r="U23" s="2"/>
      <c r="V23" s="2"/>
      <c r="W23" s="2"/>
      <c r="X23" s="2"/>
      <c r="Y23" s="2"/>
      <c r="Z23" s="3">
        <v>42.235023041997898</v>
      </c>
      <c r="AA23" s="3">
        <v>42.242984958000299</v>
      </c>
      <c r="AB23" s="3">
        <v>42.7263398750001</v>
      </c>
      <c r="AC23" s="3">
        <v>42.7263398750001</v>
      </c>
      <c r="AD23" s="3">
        <v>42.7263398750001</v>
      </c>
      <c r="AE23" s="3">
        <v>43.6178257920037</v>
      </c>
      <c r="AF23" s="3" t="s">
        <v>57</v>
      </c>
      <c r="AG23" s="3">
        <v>1</v>
      </c>
      <c r="AH23" s="3">
        <v>0.88297866700304395</v>
      </c>
      <c r="AI23" s="3" t="s">
        <v>48</v>
      </c>
      <c r="AJ23" s="2"/>
      <c r="AK23" s="2"/>
      <c r="AL23" s="2"/>
      <c r="AM23" s="2"/>
      <c r="AN23" s="3" t="s">
        <v>56</v>
      </c>
      <c r="AO23" s="3">
        <v>1</v>
      </c>
      <c r="AP23" s="3" t="s">
        <v>62</v>
      </c>
      <c r="AQ23" s="3" t="s">
        <v>51</v>
      </c>
      <c r="AR23" s="2"/>
      <c r="AS23" s="3" t="s">
        <v>52</v>
      </c>
      <c r="AT23" s="3">
        <v>119.861679618499</v>
      </c>
      <c r="AU23" s="3" t="s">
        <v>63</v>
      </c>
    </row>
    <row r="24" spans="1:47" x14ac:dyDescent="0.2">
      <c r="A24" s="1" t="s">
        <v>54</v>
      </c>
      <c r="B24" s="3" t="s">
        <v>60</v>
      </c>
      <c r="C24" s="3" t="s">
        <v>59</v>
      </c>
      <c r="D24" s="3" t="s">
        <v>61</v>
      </c>
      <c r="E24" s="3">
        <v>21</v>
      </c>
      <c r="F24" s="3">
        <v>1</v>
      </c>
      <c r="G24" s="3">
        <v>5</v>
      </c>
      <c r="H24" s="3" t="s">
        <v>61</v>
      </c>
      <c r="I24" s="3">
        <v>1</v>
      </c>
      <c r="J24" s="3">
        <v>1.0246274589953801</v>
      </c>
      <c r="K24" s="3" t="s">
        <v>48</v>
      </c>
      <c r="L24" s="3">
        <v>5</v>
      </c>
      <c r="M24" s="3">
        <v>1</v>
      </c>
      <c r="N24" s="3">
        <v>21</v>
      </c>
      <c r="O24" s="3">
        <v>3</v>
      </c>
      <c r="P24" s="3">
        <v>43.625778624998901</v>
      </c>
      <c r="Q24" s="2"/>
      <c r="R24" s="2"/>
      <c r="S24" s="2"/>
      <c r="T24" s="2"/>
      <c r="U24" s="2"/>
      <c r="V24" s="2"/>
      <c r="W24" s="2"/>
      <c r="X24" s="2"/>
      <c r="Y24" s="2"/>
      <c r="Z24" s="3">
        <v>43.618730041998802</v>
      </c>
      <c r="AA24" s="3">
        <v>43.625778624998901</v>
      </c>
      <c r="AB24" s="3">
        <v>44.1096357499991</v>
      </c>
      <c r="AC24" s="3">
        <v>44.1096357499991</v>
      </c>
      <c r="AD24" s="3">
        <v>44.1096357499991</v>
      </c>
      <c r="AE24" s="3">
        <v>45.143245208004402</v>
      </c>
      <c r="AF24" s="3" t="s">
        <v>61</v>
      </c>
      <c r="AG24" s="3">
        <v>1</v>
      </c>
      <c r="AH24" s="3">
        <v>1.0246274589953801</v>
      </c>
      <c r="AI24" s="3" t="s">
        <v>48</v>
      </c>
      <c r="AJ24" s="2"/>
      <c r="AK24" s="2"/>
      <c r="AL24" s="2"/>
      <c r="AM24" s="2"/>
      <c r="AN24" s="3" t="s">
        <v>56</v>
      </c>
      <c r="AO24" s="3">
        <v>1</v>
      </c>
      <c r="AP24" s="3" t="s">
        <v>62</v>
      </c>
      <c r="AQ24" s="3" t="s">
        <v>51</v>
      </c>
      <c r="AR24" s="2"/>
      <c r="AS24" s="3" t="s">
        <v>52</v>
      </c>
      <c r="AT24" s="3">
        <v>119.861679618499</v>
      </c>
      <c r="AU24" s="3" t="s">
        <v>63</v>
      </c>
    </row>
    <row r="25" spans="1:47" x14ac:dyDescent="0.2">
      <c r="A25" s="1" t="s">
        <v>54</v>
      </c>
      <c r="B25" s="3" t="s">
        <v>55</v>
      </c>
      <c r="C25" s="3" t="s">
        <v>56</v>
      </c>
      <c r="D25" s="3" t="s">
        <v>57</v>
      </c>
      <c r="E25" s="3">
        <v>22</v>
      </c>
      <c r="F25" s="3">
        <v>2</v>
      </c>
      <c r="G25" s="3">
        <v>5</v>
      </c>
      <c r="H25" s="3" t="s">
        <v>57</v>
      </c>
      <c r="I25" s="3">
        <v>1</v>
      </c>
      <c r="J25" s="3">
        <v>1.00676891700277</v>
      </c>
      <c r="K25" s="3" t="s">
        <v>48</v>
      </c>
      <c r="L25" s="3">
        <v>5</v>
      </c>
      <c r="M25" s="3">
        <v>2</v>
      </c>
      <c r="N25" s="3">
        <v>22</v>
      </c>
      <c r="O25" s="3">
        <v>2</v>
      </c>
      <c r="P25" s="3">
        <v>45.151350416999797</v>
      </c>
      <c r="Q25" s="2"/>
      <c r="R25" s="2"/>
      <c r="S25" s="2"/>
      <c r="T25" s="2"/>
      <c r="U25" s="2"/>
      <c r="V25" s="2"/>
      <c r="W25" s="2"/>
      <c r="X25" s="2"/>
      <c r="Y25" s="2"/>
      <c r="Z25" s="3">
        <v>45.143384374998298</v>
      </c>
      <c r="AA25" s="3">
        <v>45.151350416999797</v>
      </c>
      <c r="AB25" s="3">
        <v>45.634527250003899</v>
      </c>
      <c r="AC25" s="3">
        <v>45.634527250003899</v>
      </c>
      <c r="AD25" s="3">
        <v>45.634527250003899</v>
      </c>
      <c r="AE25" s="3">
        <v>46.642450541999999</v>
      </c>
      <c r="AF25" s="3" t="s">
        <v>57</v>
      </c>
      <c r="AG25" s="3">
        <v>1</v>
      </c>
      <c r="AH25" s="3">
        <v>1.00676891700277</v>
      </c>
      <c r="AI25" s="3" t="s">
        <v>48</v>
      </c>
      <c r="AJ25" s="2"/>
      <c r="AK25" s="2"/>
      <c r="AL25" s="2"/>
      <c r="AM25" s="2"/>
      <c r="AN25" s="3" t="s">
        <v>56</v>
      </c>
      <c r="AO25" s="3">
        <v>1</v>
      </c>
      <c r="AP25" s="3" t="s">
        <v>62</v>
      </c>
      <c r="AQ25" s="3" t="s">
        <v>51</v>
      </c>
      <c r="AR25" s="2"/>
      <c r="AS25" s="3" t="s">
        <v>52</v>
      </c>
      <c r="AT25" s="3">
        <v>119.861679618499</v>
      </c>
      <c r="AU25" s="3" t="s">
        <v>63</v>
      </c>
    </row>
    <row r="26" spans="1:47" x14ac:dyDescent="0.2">
      <c r="A26" s="1" t="s">
        <v>58</v>
      </c>
      <c r="B26" s="3" t="s">
        <v>60</v>
      </c>
      <c r="C26" s="3" t="s">
        <v>56</v>
      </c>
      <c r="D26" s="3" t="s">
        <v>61</v>
      </c>
      <c r="E26" s="3">
        <v>23</v>
      </c>
      <c r="F26" s="3">
        <v>3</v>
      </c>
      <c r="G26" s="3">
        <v>5</v>
      </c>
      <c r="H26" s="3" t="s">
        <v>61</v>
      </c>
      <c r="I26" s="3">
        <v>1</v>
      </c>
      <c r="J26" s="3">
        <v>1.1370485840016</v>
      </c>
      <c r="K26" s="3" t="s">
        <v>48</v>
      </c>
      <c r="L26" s="3">
        <v>5</v>
      </c>
      <c r="M26" s="3">
        <v>3</v>
      </c>
      <c r="N26" s="3">
        <v>23</v>
      </c>
      <c r="O26" s="3">
        <v>1</v>
      </c>
      <c r="P26" s="3">
        <v>46.650286875003097</v>
      </c>
      <c r="Q26" s="2"/>
      <c r="R26" s="2"/>
      <c r="S26" s="2"/>
      <c r="T26" s="2"/>
      <c r="U26" s="2"/>
      <c r="V26" s="2"/>
      <c r="W26" s="2"/>
      <c r="X26" s="2"/>
      <c r="Y26" s="2"/>
      <c r="Z26" s="3">
        <v>46.643072750004698</v>
      </c>
      <c r="AA26" s="3">
        <v>46.650286875003097</v>
      </c>
      <c r="AB26" s="3">
        <v>47.1340845000013</v>
      </c>
      <c r="AC26" s="3">
        <v>47.1340845000013</v>
      </c>
      <c r="AD26" s="3">
        <v>47.1340845000013</v>
      </c>
      <c r="AE26" s="3">
        <v>48.276328375002798</v>
      </c>
      <c r="AF26" s="3" t="s">
        <v>61</v>
      </c>
      <c r="AG26" s="3">
        <v>1</v>
      </c>
      <c r="AH26" s="3">
        <v>1.1370485840016</v>
      </c>
      <c r="AI26" s="3" t="s">
        <v>48</v>
      </c>
      <c r="AJ26" s="2"/>
      <c r="AK26" s="2"/>
      <c r="AL26" s="2"/>
      <c r="AM26" s="2"/>
      <c r="AN26" s="3" t="s">
        <v>56</v>
      </c>
      <c r="AO26" s="3">
        <v>1</v>
      </c>
      <c r="AP26" s="3" t="s">
        <v>62</v>
      </c>
      <c r="AQ26" s="3" t="s">
        <v>51</v>
      </c>
      <c r="AR26" s="2"/>
      <c r="AS26" s="3" t="s">
        <v>52</v>
      </c>
      <c r="AT26" s="3">
        <v>119.861679618499</v>
      </c>
      <c r="AU26" s="3" t="s">
        <v>63</v>
      </c>
    </row>
    <row r="27" spans="1:47" x14ac:dyDescent="0.2">
      <c r="A27" s="1" t="s">
        <v>54</v>
      </c>
      <c r="B27" s="3" t="s">
        <v>55</v>
      </c>
      <c r="C27" s="3" t="s">
        <v>56</v>
      </c>
      <c r="D27" s="3" t="s">
        <v>57</v>
      </c>
      <c r="E27" s="3">
        <v>24</v>
      </c>
      <c r="F27" s="3">
        <v>0</v>
      </c>
      <c r="G27" s="3">
        <v>6</v>
      </c>
      <c r="H27" s="3" t="s">
        <v>57</v>
      </c>
      <c r="I27" s="3">
        <v>1</v>
      </c>
      <c r="J27" s="3">
        <v>1.1537077920001999</v>
      </c>
      <c r="K27" s="3" t="s">
        <v>48</v>
      </c>
      <c r="L27" s="3">
        <v>6</v>
      </c>
      <c r="M27" s="3">
        <v>0</v>
      </c>
      <c r="N27" s="3">
        <v>24</v>
      </c>
      <c r="O27" s="3">
        <v>2</v>
      </c>
      <c r="P27" s="3">
        <v>48.284217417000001</v>
      </c>
      <c r="Q27" s="2"/>
      <c r="R27" s="2"/>
      <c r="S27" s="2"/>
      <c r="T27" s="2"/>
      <c r="U27" s="2"/>
      <c r="V27" s="2"/>
      <c r="W27" s="2"/>
      <c r="X27" s="2"/>
      <c r="Y27" s="2"/>
      <c r="Z27" s="3">
        <v>48.277067708004303</v>
      </c>
      <c r="AA27" s="3">
        <v>48.284217417000001</v>
      </c>
      <c r="AB27" s="3">
        <v>48.767369542001703</v>
      </c>
      <c r="AC27" s="3">
        <v>48.767369542001703</v>
      </c>
      <c r="AD27" s="3">
        <v>48.767369542001703</v>
      </c>
      <c r="AE27" s="3">
        <v>49.926876083001801</v>
      </c>
      <c r="AF27" s="3" t="s">
        <v>57</v>
      </c>
      <c r="AG27" s="3">
        <v>1</v>
      </c>
      <c r="AH27" s="3">
        <v>1.1537077920001999</v>
      </c>
      <c r="AI27" s="3" t="s">
        <v>48</v>
      </c>
      <c r="AJ27" s="2"/>
      <c r="AK27" s="2"/>
      <c r="AL27" s="2"/>
      <c r="AM27" s="2"/>
      <c r="AN27" s="3" t="s">
        <v>56</v>
      </c>
      <c r="AO27" s="3">
        <v>1</v>
      </c>
      <c r="AP27" s="3" t="s">
        <v>62</v>
      </c>
      <c r="AQ27" s="3" t="s">
        <v>51</v>
      </c>
      <c r="AR27" s="2"/>
      <c r="AS27" s="3" t="s">
        <v>52</v>
      </c>
      <c r="AT27" s="3">
        <v>119.861679618499</v>
      </c>
      <c r="AU27" s="3" t="s">
        <v>63</v>
      </c>
    </row>
    <row r="28" spans="1:47" x14ac:dyDescent="0.2">
      <c r="A28" s="1" t="s">
        <v>54</v>
      </c>
      <c r="B28" s="3" t="s">
        <v>60</v>
      </c>
      <c r="C28" s="3" t="s">
        <v>59</v>
      </c>
      <c r="D28" s="3" t="s">
        <v>61</v>
      </c>
      <c r="E28" s="3">
        <v>25</v>
      </c>
      <c r="F28" s="3">
        <v>1</v>
      </c>
      <c r="G28" s="3">
        <v>6</v>
      </c>
      <c r="H28" s="3" t="s">
        <v>61</v>
      </c>
      <c r="I28" s="3">
        <v>1</v>
      </c>
      <c r="J28" s="3">
        <v>0.80741275000036705</v>
      </c>
      <c r="K28" s="3" t="s">
        <v>48</v>
      </c>
      <c r="L28" s="3">
        <v>6</v>
      </c>
      <c r="M28" s="3">
        <v>1</v>
      </c>
      <c r="N28" s="3">
        <v>25</v>
      </c>
      <c r="O28" s="3">
        <v>3</v>
      </c>
      <c r="P28" s="3">
        <v>49.934021917004401</v>
      </c>
      <c r="Q28" s="2"/>
      <c r="R28" s="2"/>
      <c r="S28" s="2"/>
      <c r="T28" s="2"/>
      <c r="U28" s="2"/>
      <c r="V28" s="2"/>
      <c r="W28" s="2"/>
      <c r="X28" s="2"/>
      <c r="Y28" s="2"/>
      <c r="Z28" s="3">
        <v>49.927088542004597</v>
      </c>
      <c r="AA28" s="3">
        <v>49.934021917004401</v>
      </c>
      <c r="AB28" s="3">
        <v>50.425823042001902</v>
      </c>
      <c r="AC28" s="3">
        <v>50.425823042001902</v>
      </c>
      <c r="AD28" s="3">
        <v>50.425823042001902</v>
      </c>
      <c r="AE28" s="3">
        <v>51.234363000003199</v>
      </c>
      <c r="AF28" s="3" t="s">
        <v>61</v>
      </c>
      <c r="AG28" s="3">
        <v>1</v>
      </c>
      <c r="AH28" s="3">
        <v>0.80741275000036705</v>
      </c>
      <c r="AI28" s="3" t="s">
        <v>48</v>
      </c>
      <c r="AJ28" s="2"/>
      <c r="AK28" s="2"/>
      <c r="AL28" s="2"/>
      <c r="AM28" s="2"/>
      <c r="AN28" s="3" t="s">
        <v>56</v>
      </c>
      <c r="AO28" s="3">
        <v>1</v>
      </c>
      <c r="AP28" s="3" t="s">
        <v>62</v>
      </c>
      <c r="AQ28" s="3" t="s">
        <v>51</v>
      </c>
      <c r="AR28" s="2"/>
      <c r="AS28" s="3" t="s">
        <v>52</v>
      </c>
      <c r="AT28" s="3">
        <v>119.861679618499</v>
      </c>
      <c r="AU28" s="3" t="s">
        <v>63</v>
      </c>
    </row>
    <row r="29" spans="1:47" x14ac:dyDescent="0.2">
      <c r="A29" s="1" t="s">
        <v>58</v>
      </c>
      <c r="B29" s="3" t="s">
        <v>55</v>
      </c>
      <c r="C29" s="3" t="s">
        <v>59</v>
      </c>
      <c r="D29" s="3" t="s">
        <v>57</v>
      </c>
      <c r="E29" s="3">
        <v>26</v>
      </c>
      <c r="F29" s="3">
        <v>2</v>
      </c>
      <c r="G29" s="3">
        <v>6</v>
      </c>
      <c r="H29" s="3" t="s">
        <v>57</v>
      </c>
      <c r="I29" s="3">
        <v>1</v>
      </c>
      <c r="J29" s="3">
        <v>0.62002887499693304</v>
      </c>
      <c r="K29" s="3" t="s">
        <v>48</v>
      </c>
      <c r="L29" s="3">
        <v>6</v>
      </c>
      <c r="M29" s="3">
        <v>2</v>
      </c>
      <c r="N29" s="3">
        <v>26</v>
      </c>
      <c r="O29" s="3">
        <v>0</v>
      </c>
      <c r="P29" s="3">
        <v>51.242488625001002</v>
      </c>
      <c r="Q29" s="2"/>
      <c r="R29" s="2"/>
      <c r="S29" s="2"/>
      <c r="T29" s="2"/>
      <c r="U29" s="2"/>
      <c r="V29" s="2"/>
      <c r="W29" s="2"/>
      <c r="X29" s="2"/>
      <c r="Y29" s="2"/>
      <c r="Z29" s="3">
        <v>51.2350206250048</v>
      </c>
      <c r="AA29" s="3">
        <v>51.242488625001002</v>
      </c>
      <c r="AB29" s="3">
        <v>51.725966707999802</v>
      </c>
      <c r="AC29" s="3">
        <v>51.725966707999802</v>
      </c>
      <c r="AD29" s="3">
        <v>51.725966707999802</v>
      </c>
      <c r="AE29" s="3">
        <v>52.351219208001602</v>
      </c>
      <c r="AF29" s="3" t="s">
        <v>57</v>
      </c>
      <c r="AG29" s="3">
        <v>1</v>
      </c>
      <c r="AH29" s="3">
        <v>0.62002887499693304</v>
      </c>
      <c r="AI29" s="3" t="s">
        <v>48</v>
      </c>
      <c r="AJ29" s="2"/>
      <c r="AK29" s="2"/>
      <c r="AL29" s="2"/>
      <c r="AM29" s="2"/>
      <c r="AN29" s="3" t="s">
        <v>56</v>
      </c>
      <c r="AO29" s="3">
        <v>1</v>
      </c>
      <c r="AP29" s="3" t="s">
        <v>62</v>
      </c>
      <c r="AQ29" s="3" t="s">
        <v>51</v>
      </c>
      <c r="AR29" s="2"/>
      <c r="AS29" s="3" t="s">
        <v>52</v>
      </c>
      <c r="AT29" s="3">
        <v>119.861679618499</v>
      </c>
      <c r="AU29" s="3" t="s">
        <v>63</v>
      </c>
    </row>
    <row r="30" spans="1:47" x14ac:dyDescent="0.2">
      <c r="A30" s="1" t="s">
        <v>58</v>
      </c>
      <c r="B30" s="3" t="s">
        <v>60</v>
      </c>
      <c r="C30" s="3" t="s">
        <v>56</v>
      </c>
      <c r="D30" s="3" t="s">
        <v>61</v>
      </c>
      <c r="E30" s="3">
        <v>27</v>
      </c>
      <c r="F30" s="3">
        <v>3</v>
      </c>
      <c r="G30" s="3">
        <v>6</v>
      </c>
      <c r="H30" s="3" t="s">
        <v>61</v>
      </c>
      <c r="I30" s="3">
        <v>1</v>
      </c>
      <c r="J30" s="3">
        <v>0.55954479099455101</v>
      </c>
      <c r="K30" s="3" t="s">
        <v>48</v>
      </c>
      <c r="L30" s="3">
        <v>6</v>
      </c>
      <c r="M30" s="3">
        <v>3</v>
      </c>
      <c r="N30" s="3">
        <v>27</v>
      </c>
      <c r="O30" s="3">
        <v>1</v>
      </c>
      <c r="P30" s="3">
        <v>52.359116042003699</v>
      </c>
      <c r="Q30" s="2"/>
      <c r="R30" s="2"/>
      <c r="S30" s="2"/>
      <c r="T30" s="2"/>
      <c r="U30" s="2"/>
      <c r="V30" s="2"/>
      <c r="W30" s="2"/>
      <c r="X30" s="2"/>
      <c r="Y30" s="2"/>
      <c r="Z30" s="3">
        <v>52.351395124998803</v>
      </c>
      <c r="AA30" s="3">
        <v>52.359116042003699</v>
      </c>
      <c r="AB30" s="3">
        <v>52.8424156670008</v>
      </c>
      <c r="AC30" s="3">
        <v>52.8424156670008</v>
      </c>
      <c r="AD30" s="3">
        <v>52.8424156670008</v>
      </c>
      <c r="AE30" s="3">
        <v>53.409373082999103</v>
      </c>
      <c r="AF30" s="3" t="s">
        <v>61</v>
      </c>
      <c r="AG30" s="3">
        <v>1</v>
      </c>
      <c r="AH30" s="3">
        <v>0.55954479099455101</v>
      </c>
      <c r="AI30" s="3" t="s">
        <v>48</v>
      </c>
      <c r="AJ30" s="2"/>
      <c r="AK30" s="2"/>
      <c r="AL30" s="2"/>
      <c r="AM30" s="2"/>
      <c r="AN30" s="3" t="s">
        <v>56</v>
      </c>
      <c r="AO30" s="3">
        <v>1</v>
      </c>
      <c r="AP30" s="3" t="s">
        <v>62</v>
      </c>
      <c r="AQ30" s="3" t="s">
        <v>51</v>
      </c>
      <c r="AR30" s="2"/>
      <c r="AS30" s="3" t="s">
        <v>52</v>
      </c>
      <c r="AT30" s="3">
        <v>119.861679618499</v>
      </c>
      <c r="AU30" s="3" t="s">
        <v>63</v>
      </c>
    </row>
    <row r="31" spans="1:47" x14ac:dyDescent="0.2">
      <c r="A31" s="1" t="s">
        <v>58</v>
      </c>
      <c r="B31" s="3" t="s">
        <v>60</v>
      </c>
      <c r="C31" s="3" t="s">
        <v>56</v>
      </c>
      <c r="D31" s="3" t="s">
        <v>61</v>
      </c>
      <c r="E31" s="3">
        <v>28</v>
      </c>
      <c r="F31" s="3">
        <v>0</v>
      </c>
      <c r="G31" s="3">
        <v>7</v>
      </c>
      <c r="H31" s="3" t="s">
        <v>61</v>
      </c>
      <c r="I31" s="3">
        <v>1</v>
      </c>
      <c r="J31" s="3">
        <v>0.63042020800639897</v>
      </c>
      <c r="K31" s="3" t="s">
        <v>48</v>
      </c>
      <c r="L31" s="3">
        <v>7</v>
      </c>
      <c r="M31" s="3">
        <v>0</v>
      </c>
      <c r="N31" s="3">
        <v>28</v>
      </c>
      <c r="O31" s="3">
        <v>1</v>
      </c>
      <c r="P31" s="3">
        <v>53.417429542001599</v>
      </c>
      <c r="Q31" s="2"/>
      <c r="R31" s="2"/>
      <c r="S31" s="2"/>
      <c r="T31" s="2"/>
      <c r="U31" s="2"/>
      <c r="V31" s="2"/>
      <c r="W31" s="2"/>
      <c r="X31" s="2"/>
      <c r="Y31" s="2"/>
      <c r="Z31" s="3">
        <v>53.409511707999599</v>
      </c>
      <c r="AA31" s="3">
        <v>53.417429542001599</v>
      </c>
      <c r="AB31" s="3">
        <v>53.901137083004897</v>
      </c>
      <c r="AC31" s="3">
        <v>53.901137083004897</v>
      </c>
      <c r="AD31" s="3">
        <v>53.901137083004897</v>
      </c>
      <c r="AE31" s="3">
        <v>54.534540458000301</v>
      </c>
      <c r="AF31" s="3" t="s">
        <v>61</v>
      </c>
      <c r="AG31" s="3">
        <v>1</v>
      </c>
      <c r="AH31" s="3">
        <v>0.63042020800639897</v>
      </c>
      <c r="AI31" s="3" t="s">
        <v>48</v>
      </c>
      <c r="AJ31" s="2"/>
      <c r="AK31" s="2"/>
      <c r="AL31" s="2"/>
      <c r="AM31" s="2"/>
      <c r="AN31" s="3" t="s">
        <v>56</v>
      </c>
      <c r="AO31" s="3">
        <v>1</v>
      </c>
      <c r="AP31" s="3" t="s">
        <v>62</v>
      </c>
      <c r="AQ31" s="3" t="s">
        <v>51</v>
      </c>
      <c r="AR31" s="2"/>
      <c r="AS31" s="3" t="s">
        <v>52</v>
      </c>
      <c r="AT31" s="3">
        <v>119.861679618499</v>
      </c>
      <c r="AU31" s="3" t="s">
        <v>63</v>
      </c>
    </row>
    <row r="32" spans="1:47" x14ac:dyDescent="0.2">
      <c r="A32" s="1" t="s">
        <v>54</v>
      </c>
      <c r="B32" s="3" t="s">
        <v>60</v>
      </c>
      <c r="C32" s="3" t="s">
        <v>59</v>
      </c>
      <c r="D32" s="3" t="s">
        <v>61</v>
      </c>
      <c r="E32" s="3">
        <v>29</v>
      </c>
      <c r="F32" s="3">
        <v>1</v>
      </c>
      <c r="G32" s="3">
        <v>7</v>
      </c>
      <c r="H32" s="3" t="s">
        <v>61</v>
      </c>
      <c r="I32" s="3">
        <v>1</v>
      </c>
      <c r="J32" s="3">
        <v>0.62495112499891603</v>
      </c>
      <c r="K32" s="3" t="s">
        <v>48</v>
      </c>
      <c r="L32" s="3">
        <v>7</v>
      </c>
      <c r="M32" s="3">
        <v>1</v>
      </c>
      <c r="N32" s="3">
        <v>29</v>
      </c>
      <c r="O32" s="3">
        <v>3</v>
      </c>
      <c r="P32" s="3">
        <v>54.542532958003001</v>
      </c>
      <c r="Q32" s="2"/>
      <c r="R32" s="2"/>
      <c r="S32" s="2"/>
      <c r="T32" s="2"/>
      <c r="U32" s="2"/>
      <c r="V32" s="2"/>
      <c r="W32" s="2"/>
      <c r="X32" s="2"/>
      <c r="Y32" s="2"/>
      <c r="Z32" s="3">
        <v>54.535160542000099</v>
      </c>
      <c r="AA32" s="3">
        <v>54.542532958003001</v>
      </c>
      <c r="AB32" s="3">
        <v>55.0259722499977</v>
      </c>
      <c r="AC32" s="3">
        <v>55.0259722499977</v>
      </c>
      <c r="AD32" s="3">
        <v>55.0259722499977</v>
      </c>
      <c r="AE32" s="3">
        <v>55.659360750003501</v>
      </c>
      <c r="AF32" s="3" t="s">
        <v>61</v>
      </c>
      <c r="AG32" s="3">
        <v>1</v>
      </c>
      <c r="AH32" s="3">
        <v>0.62495112499891603</v>
      </c>
      <c r="AI32" s="3" t="s">
        <v>48</v>
      </c>
      <c r="AJ32" s="2"/>
      <c r="AK32" s="2"/>
      <c r="AL32" s="2"/>
      <c r="AM32" s="2"/>
      <c r="AN32" s="3" t="s">
        <v>56</v>
      </c>
      <c r="AO32" s="3">
        <v>1</v>
      </c>
      <c r="AP32" s="3" t="s">
        <v>62</v>
      </c>
      <c r="AQ32" s="3" t="s">
        <v>51</v>
      </c>
      <c r="AR32" s="2"/>
      <c r="AS32" s="3" t="s">
        <v>52</v>
      </c>
      <c r="AT32" s="3">
        <v>119.861679618499</v>
      </c>
      <c r="AU32" s="3" t="s">
        <v>63</v>
      </c>
    </row>
    <row r="33" spans="1:47" x14ac:dyDescent="0.2">
      <c r="A33" s="1" t="s">
        <v>54</v>
      </c>
      <c r="B33" s="3" t="s">
        <v>55</v>
      </c>
      <c r="C33" s="3" t="s">
        <v>56</v>
      </c>
      <c r="D33" s="3" t="s">
        <v>57</v>
      </c>
      <c r="E33" s="3">
        <v>30</v>
      </c>
      <c r="F33" s="3">
        <v>2</v>
      </c>
      <c r="G33" s="3">
        <v>7</v>
      </c>
      <c r="H33" s="3" t="s">
        <v>57</v>
      </c>
      <c r="I33" s="3">
        <v>1</v>
      </c>
      <c r="J33" s="3">
        <v>0.61124870899948303</v>
      </c>
      <c r="K33" s="3" t="s">
        <v>48</v>
      </c>
      <c r="L33" s="3">
        <v>7</v>
      </c>
      <c r="M33" s="3">
        <v>2</v>
      </c>
      <c r="N33" s="3">
        <v>30</v>
      </c>
      <c r="O33" s="3">
        <v>2</v>
      </c>
      <c r="P33" s="3">
        <v>55.667469332998699</v>
      </c>
      <c r="Q33" s="2"/>
      <c r="R33" s="2"/>
      <c r="S33" s="2"/>
      <c r="T33" s="2"/>
      <c r="U33" s="2"/>
      <c r="V33" s="2"/>
      <c r="W33" s="2"/>
      <c r="X33" s="2"/>
      <c r="Y33" s="2"/>
      <c r="Z33" s="3">
        <v>55.659504208000698</v>
      </c>
      <c r="AA33" s="3">
        <v>55.667469332998699</v>
      </c>
      <c r="AB33" s="3">
        <v>56.150595250001103</v>
      </c>
      <c r="AC33" s="3">
        <v>56.150595250001103</v>
      </c>
      <c r="AD33" s="3">
        <v>56.150595250001103</v>
      </c>
      <c r="AE33" s="3">
        <v>56.767645542000501</v>
      </c>
      <c r="AF33" s="3" t="s">
        <v>57</v>
      </c>
      <c r="AG33" s="3">
        <v>1</v>
      </c>
      <c r="AH33" s="3">
        <v>0.61124870899948303</v>
      </c>
      <c r="AI33" s="3" t="s">
        <v>48</v>
      </c>
      <c r="AJ33" s="2"/>
      <c r="AK33" s="2"/>
      <c r="AL33" s="2"/>
      <c r="AM33" s="2"/>
      <c r="AN33" s="3" t="s">
        <v>56</v>
      </c>
      <c r="AO33" s="3">
        <v>1</v>
      </c>
      <c r="AP33" s="3" t="s">
        <v>62</v>
      </c>
      <c r="AQ33" s="3" t="s">
        <v>51</v>
      </c>
      <c r="AR33" s="2"/>
      <c r="AS33" s="3" t="s">
        <v>52</v>
      </c>
      <c r="AT33" s="3">
        <v>119.861679618499</v>
      </c>
      <c r="AU33" s="3" t="s">
        <v>63</v>
      </c>
    </row>
    <row r="34" spans="1:47" x14ac:dyDescent="0.2">
      <c r="A34" s="1" t="s">
        <v>58</v>
      </c>
      <c r="B34" s="3" t="s">
        <v>55</v>
      </c>
      <c r="C34" s="3" t="s">
        <v>59</v>
      </c>
      <c r="D34" s="3" t="s">
        <v>57</v>
      </c>
      <c r="E34" s="3">
        <v>31</v>
      </c>
      <c r="F34" s="3">
        <v>3</v>
      </c>
      <c r="G34" s="3">
        <v>7</v>
      </c>
      <c r="H34" s="3" t="s">
        <v>57</v>
      </c>
      <c r="I34" s="3">
        <v>1</v>
      </c>
      <c r="J34" s="3">
        <v>0.62848529199982295</v>
      </c>
      <c r="K34" s="3" t="s">
        <v>48</v>
      </c>
      <c r="L34" s="3">
        <v>7</v>
      </c>
      <c r="M34" s="3">
        <v>3</v>
      </c>
      <c r="N34" s="3">
        <v>31</v>
      </c>
      <c r="O34" s="3">
        <v>0</v>
      </c>
      <c r="P34" s="3">
        <v>56.775702999999297</v>
      </c>
      <c r="Q34" s="2"/>
      <c r="R34" s="2"/>
      <c r="S34" s="2"/>
      <c r="T34" s="2"/>
      <c r="U34" s="2"/>
      <c r="V34" s="2"/>
      <c r="W34" s="2"/>
      <c r="X34" s="2"/>
      <c r="Y34" s="2"/>
      <c r="Z34" s="3">
        <v>56.768400375003701</v>
      </c>
      <c r="AA34" s="3">
        <v>56.775702999999297</v>
      </c>
      <c r="AB34" s="3">
        <v>57.259279292004102</v>
      </c>
      <c r="AC34" s="3">
        <v>57.259279292004102</v>
      </c>
      <c r="AD34" s="3">
        <v>57.259279292004102</v>
      </c>
      <c r="AE34" s="3">
        <v>57.893584958001199</v>
      </c>
      <c r="AF34" s="3" t="s">
        <v>57</v>
      </c>
      <c r="AG34" s="3">
        <v>1</v>
      </c>
      <c r="AH34" s="3">
        <v>0.62848529199982295</v>
      </c>
      <c r="AI34" s="3" t="s">
        <v>48</v>
      </c>
      <c r="AJ34" s="2"/>
      <c r="AK34" s="2"/>
      <c r="AL34" s="2"/>
      <c r="AM34" s="2"/>
      <c r="AN34" s="3" t="s">
        <v>56</v>
      </c>
      <c r="AO34" s="3">
        <v>1</v>
      </c>
      <c r="AP34" s="3" t="s">
        <v>62</v>
      </c>
      <c r="AQ34" s="3" t="s">
        <v>51</v>
      </c>
      <c r="AR34" s="2"/>
      <c r="AS34" s="3" t="s">
        <v>52</v>
      </c>
      <c r="AT34" s="3">
        <v>119.861679618499</v>
      </c>
      <c r="AU34" s="3" t="s">
        <v>63</v>
      </c>
    </row>
    <row r="35" spans="1:47" x14ac:dyDescent="0.2">
      <c r="A35" s="1" t="s">
        <v>58</v>
      </c>
      <c r="B35" s="3" t="s">
        <v>60</v>
      </c>
      <c r="C35" s="3" t="s">
        <v>56</v>
      </c>
      <c r="D35" s="3" t="s">
        <v>61</v>
      </c>
      <c r="E35" s="3">
        <v>32</v>
      </c>
      <c r="F35" s="3">
        <v>0</v>
      </c>
      <c r="G35" s="3">
        <v>8</v>
      </c>
      <c r="H35" s="3" t="s">
        <v>61</v>
      </c>
      <c r="I35" s="3">
        <v>1</v>
      </c>
      <c r="J35" s="3">
        <v>0.61027558299974805</v>
      </c>
      <c r="K35" s="3" t="s">
        <v>48</v>
      </c>
      <c r="L35" s="3">
        <v>8</v>
      </c>
      <c r="M35" s="3">
        <v>0</v>
      </c>
      <c r="N35" s="3">
        <v>32</v>
      </c>
      <c r="O35" s="3">
        <v>1</v>
      </c>
      <c r="P35" s="3">
        <v>57.900994667004902</v>
      </c>
      <c r="Q35" s="2"/>
      <c r="R35" s="2"/>
      <c r="S35" s="2"/>
      <c r="T35" s="2"/>
      <c r="U35" s="2"/>
      <c r="V35" s="2"/>
      <c r="W35" s="2"/>
      <c r="X35" s="2"/>
      <c r="Y35" s="2"/>
      <c r="Z35" s="3">
        <v>57.8937447499993</v>
      </c>
      <c r="AA35" s="3">
        <v>57.900994667004902</v>
      </c>
      <c r="AB35" s="3">
        <v>58.392492124999997</v>
      </c>
      <c r="AC35" s="3">
        <v>58.392492124999997</v>
      </c>
      <c r="AD35" s="3">
        <v>58.392492124999997</v>
      </c>
      <c r="AE35" s="3">
        <v>59.009700624999802</v>
      </c>
      <c r="AF35" s="3" t="s">
        <v>61</v>
      </c>
      <c r="AG35" s="3">
        <v>1</v>
      </c>
      <c r="AH35" s="3">
        <v>0.61027558299974805</v>
      </c>
      <c r="AI35" s="3" t="s">
        <v>48</v>
      </c>
      <c r="AJ35" s="2"/>
      <c r="AK35" s="2"/>
      <c r="AL35" s="2"/>
      <c r="AM35" s="2"/>
      <c r="AN35" s="3" t="s">
        <v>56</v>
      </c>
      <c r="AO35" s="3">
        <v>1</v>
      </c>
      <c r="AP35" s="3" t="s">
        <v>62</v>
      </c>
      <c r="AQ35" s="3" t="s">
        <v>51</v>
      </c>
      <c r="AR35" s="2"/>
      <c r="AS35" s="3" t="s">
        <v>52</v>
      </c>
      <c r="AT35" s="3">
        <v>119.861679618499</v>
      </c>
      <c r="AU35" s="3" t="s">
        <v>63</v>
      </c>
    </row>
    <row r="36" spans="1:47" x14ac:dyDescent="0.2">
      <c r="A36" s="1" t="s">
        <v>54</v>
      </c>
      <c r="B36" s="3" t="s">
        <v>55</v>
      </c>
      <c r="C36" s="3" t="s">
        <v>56</v>
      </c>
      <c r="D36" s="3" t="s">
        <v>57</v>
      </c>
      <c r="E36" s="3">
        <v>33</v>
      </c>
      <c r="F36" s="3">
        <v>1</v>
      </c>
      <c r="G36" s="3">
        <v>8</v>
      </c>
      <c r="H36" s="3" t="s">
        <v>57</v>
      </c>
      <c r="I36" s="3">
        <v>1</v>
      </c>
      <c r="J36" s="3">
        <v>0.65614274999825295</v>
      </c>
      <c r="K36" s="3" t="s">
        <v>48</v>
      </c>
      <c r="L36" s="3">
        <v>8</v>
      </c>
      <c r="M36" s="3">
        <v>1</v>
      </c>
      <c r="N36" s="3">
        <v>33</v>
      </c>
      <c r="O36" s="3">
        <v>2</v>
      </c>
      <c r="P36" s="3">
        <v>59.017262667002797</v>
      </c>
      <c r="Q36" s="2"/>
      <c r="R36" s="2"/>
      <c r="S36" s="2"/>
      <c r="T36" s="2"/>
      <c r="U36" s="2"/>
      <c r="V36" s="2"/>
      <c r="W36" s="2"/>
      <c r="X36" s="2"/>
      <c r="Y36" s="2"/>
      <c r="Z36" s="3">
        <v>59.0103878330046</v>
      </c>
      <c r="AA36" s="3">
        <v>59.017262667002797</v>
      </c>
      <c r="AB36" s="3">
        <v>59.500591875003003</v>
      </c>
      <c r="AC36" s="3">
        <v>59.500591875003003</v>
      </c>
      <c r="AD36" s="3">
        <v>59.500591875003003</v>
      </c>
      <c r="AE36" s="3">
        <v>60.159464666998304</v>
      </c>
      <c r="AF36" s="3" t="s">
        <v>57</v>
      </c>
      <c r="AG36" s="3">
        <v>1</v>
      </c>
      <c r="AH36" s="3">
        <v>0.65614274999825295</v>
      </c>
      <c r="AI36" s="3" t="s">
        <v>48</v>
      </c>
      <c r="AJ36" s="2"/>
      <c r="AK36" s="2"/>
      <c r="AL36" s="2"/>
      <c r="AM36" s="2"/>
      <c r="AN36" s="3" t="s">
        <v>56</v>
      </c>
      <c r="AO36" s="3">
        <v>1</v>
      </c>
      <c r="AP36" s="3" t="s">
        <v>62</v>
      </c>
      <c r="AQ36" s="3" t="s">
        <v>51</v>
      </c>
      <c r="AR36" s="2"/>
      <c r="AS36" s="3" t="s">
        <v>52</v>
      </c>
      <c r="AT36" s="3">
        <v>119.861679618499</v>
      </c>
      <c r="AU36" s="3" t="s">
        <v>63</v>
      </c>
    </row>
    <row r="37" spans="1:47" x14ac:dyDescent="0.2">
      <c r="A37" s="1" t="s">
        <v>58</v>
      </c>
      <c r="B37" s="3" t="s">
        <v>55</v>
      </c>
      <c r="C37" s="3" t="s">
        <v>59</v>
      </c>
      <c r="D37" s="3" t="s">
        <v>57</v>
      </c>
      <c r="E37" s="3">
        <v>34</v>
      </c>
      <c r="F37" s="3">
        <v>2</v>
      </c>
      <c r="G37" s="3">
        <v>8</v>
      </c>
      <c r="H37" s="3" t="s">
        <v>57</v>
      </c>
      <c r="I37" s="3">
        <v>1</v>
      </c>
      <c r="J37" s="3">
        <v>0.62571987499541104</v>
      </c>
      <c r="K37" s="3" t="s">
        <v>48</v>
      </c>
      <c r="L37" s="3">
        <v>8</v>
      </c>
      <c r="M37" s="3">
        <v>2</v>
      </c>
      <c r="N37" s="3">
        <v>34</v>
      </c>
      <c r="O37" s="3">
        <v>0</v>
      </c>
      <c r="P37" s="3">
        <v>60.167373249998498</v>
      </c>
      <c r="Q37" s="2"/>
      <c r="R37" s="2"/>
      <c r="S37" s="2"/>
      <c r="T37" s="2"/>
      <c r="U37" s="2"/>
      <c r="V37" s="2"/>
      <c r="W37" s="2"/>
      <c r="X37" s="2"/>
      <c r="Y37" s="2"/>
      <c r="Z37" s="3">
        <v>60.160094250000803</v>
      </c>
      <c r="AA37" s="3">
        <v>60.167373249998498</v>
      </c>
      <c r="AB37" s="3">
        <v>60.650939708000799</v>
      </c>
      <c r="AC37" s="3">
        <v>60.650939708000799</v>
      </c>
      <c r="AD37" s="3">
        <v>60.650939708000799</v>
      </c>
      <c r="AE37" s="3">
        <v>61.284143042001197</v>
      </c>
      <c r="AF37" s="3" t="s">
        <v>57</v>
      </c>
      <c r="AG37" s="3">
        <v>1</v>
      </c>
      <c r="AH37" s="3">
        <v>0.62571987499541104</v>
      </c>
      <c r="AI37" s="3" t="s">
        <v>48</v>
      </c>
      <c r="AJ37" s="2"/>
      <c r="AK37" s="2"/>
      <c r="AL37" s="2"/>
      <c r="AM37" s="2"/>
      <c r="AN37" s="3" t="s">
        <v>56</v>
      </c>
      <c r="AO37" s="3">
        <v>1</v>
      </c>
      <c r="AP37" s="3" t="s">
        <v>62</v>
      </c>
      <c r="AQ37" s="3" t="s">
        <v>51</v>
      </c>
      <c r="AR37" s="2"/>
      <c r="AS37" s="3" t="s">
        <v>52</v>
      </c>
      <c r="AT37" s="3">
        <v>119.861679618499</v>
      </c>
      <c r="AU37" s="3" t="s">
        <v>63</v>
      </c>
    </row>
    <row r="38" spans="1:47" x14ac:dyDescent="0.2">
      <c r="A38" s="1" t="s">
        <v>54</v>
      </c>
      <c r="B38" s="3" t="s">
        <v>60</v>
      </c>
      <c r="C38" s="3" t="s">
        <v>59</v>
      </c>
      <c r="D38" s="3" t="s">
        <v>61</v>
      </c>
      <c r="E38" s="3">
        <v>35</v>
      </c>
      <c r="F38" s="3">
        <v>3</v>
      </c>
      <c r="G38" s="3">
        <v>8</v>
      </c>
      <c r="H38" s="3" t="s">
        <v>61</v>
      </c>
      <c r="I38" s="3">
        <v>1</v>
      </c>
      <c r="J38" s="3">
        <v>0.51281370899960199</v>
      </c>
      <c r="K38" s="3" t="s">
        <v>48</v>
      </c>
      <c r="L38" s="3">
        <v>8</v>
      </c>
      <c r="M38" s="3">
        <v>3</v>
      </c>
      <c r="N38" s="3">
        <v>35</v>
      </c>
      <c r="O38" s="3">
        <v>3</v>
      </c>
      <c r="P38" s="3">
        <v>61.292254874999301</v>
      </c>
      <c r="Q38" s="2"/>
      <c r="R38" s="2"/>
      <c r="S38" s="2"/>
      <c r="T38" s="2"/>
      <c r="U38" s="2"/>
      <c r="V38" s="2"/>
      <c r="W38" s="2"/>
      <c r="X38" s="2"/>
      <c r="Y38" s="2"/>
      <c r="Z38" s="3">
        <v>61.284787292002903</v>
      </c>
      <c r="AA38" s="3">
        <v>61.292254874999301</v>
      </c>
      <c r="AB38" s="3">
        <v>61.775807042002299</v>
      </c>
      <c r="AC38" s="3">
        <v>61.775807042002299</v>
      </c>
      <c r="AD38" s="3">
        <v>61.775807042002299</v>
      </c>
      <c r="AE38" s="3">
        <v>62.292468457999398</v>
      </c>
      <c r="AF38" s="3" t="s">
        <v>61</v>
      </c>
      <c r="AG38" s="3">
        <v>1</v>
      </c>
      <c r="AH38" s="3">
        <v>0.51281370899960199</v>
      </c>
      <c r="AI38" s="3" t="s">
        <v>48</v>
      </c>
      <c r="AJ38" s="2"/>
      <c r="AK38" s="2"/>
      <c r="AL38" s="2"/>
      <c r="AM38" s="2"/>
      <c r="AN38" s="3" t="s">
        <v>56</v>
      </c>
      <c r="AO38" s="3">
        <v>1</v>
      </c>
      <c r="AP38" s="3" t="s">
        <v>62</v>
      </c>
      <c r="AQ38" s="3" t="s">
        <v>51</v>
      </c>
      <c r="AR38" s="2"/>
      <c r="AS38" s="3" t="s">
        <v>52</v>
      </c>
      <c r="AT38" s="3">
        <v>119.861679618499</v>
      </c>
      <c r="AU38" s="3" t="s">
        <v>63</v>
      </c>
    </row>
    <row r="39" spans="1:47" x14ac:dyDescent="0.2">
      <c r="A39" s="1" t="s">
        <v>54</v>
      </c>
      <c r="B39" s="3" t="s">
        <v>60</v>
      </c>
      <c r="C39" s="3" t="s">
        <v>59</v>
      </c>
      <c r="D39" s="3" t="s">
        <v>61</v>
      </c>
      <c r="E39" s="3">
        <v>36</v>
      </c>
      <c r="F39" s="3">
        <v>0</v>
      </c>
      <c r="G39" s="3">
        <v>9</v>
      </c>
      <c r="H39" s="3" t="s">
        <v>61</v>
      </c>
      <c r="I39" s="3">
        <v>1</v>
      </c>
      <c r="J39" s="3">
        <v>0.82362475000263702</v>
      </c>
      <c r="K39" s="3" t="s">
        <v>48</v>
      </c>
      <c r="L39" s="3">
        <v>9</v>
      </c>
      <c r="M39" s="3">
        <v>0</v>
      </c>
      <c r="N39" s="3">
        <v>36</v>
      </c>
      <c r="O39" s="3">
        <v>3</v>
      </c>
      <c r="P39" s="3">
        <v>62.3008120419981</v>
      </c>
      <c r="Q39" s="2"/>
      <c r="R39" s="2"/>
      <c r="S39" s="2"/>
      <c r="T39" s="2"/>
      <c r="U39" s="2"/>
      <c r="V39" s="2"/>
      <c r="W39" s="2"/>
      <c r="X39" s="2"/>
      <c r="Y39" s="2"/>
      <c r="Z39" s="3">
        <v>62.292615667000099</v>
      </c>
      <c r="AA39" s="3">
        <v>62.3008120419981</v>
      </c>
      <c r="AB39" s="3">
        <v>62.784083375001501</v>
      </c>
      <c r="AC39" s="3">
        <v>62.784083375001501</v>
      </c>
      <c r="AD39" s="3">
        <v>62.784083375001501</v>
      </c>
      <c r="AE39" s="3">
        <v>63.609369042002101</v>
      </c>
      <c r="AF39" s="3" t="s">
        <v>61</v>
      </c>
      <c r="AG39" s="3">
        <v>1</v>
      </c>
      <c r="AH39" s="3">
        <v>0.82362475000263702</v>
      </c>
      <c r="AI39" s="3" t="s">
        <v>48</v>
      </c>
      <c r="AJ39" s="2"/>
      <c r="AK39" s="2"/>
      <c r="AL39" s="2"/>
      <c r="AM39" s="2"/>
      <c r="AN39" s="3" t="s">
        <v>56</v>
      </c>
      <c r="AO39" s="3">
        <v>1</v>
      </c>
      <c r="AP39" s="3" t="s">
        <v>62</v>
      </c>
      <c r="AQ39" s="3" t="s">
        <v>51</v>
      </c>
      <c r="AR39" s="2"/>
      <c r="AS39" s="3" t="s">
        <v>52</v>
      </c>
      <c r="AT39" s="3">
        <v>119.861679618499</v>
      </c>
      <c r="AU39" s="3" t="s">
        <v>63</v>
      </c>
    </row>
    <row r="40" spans="1:47" x14ac:dyDescent="0.2">
      <c r="A40" s="1" t="s">
        <v>54</v>
      </c>
      <c r="B40" s="3" t="s">
        <v>55</v>
      </c>
      <c r="C40" s="3" t="s">
        <v>56</v>
      </c>
      <c r="D40" s="3" t="s">
        <v>57</v>
      </c>
      <c r="E40" s="3">
        <v>37</v>
      </c>
      <c r="F40" s="3">
        <v>1</v>
      </c>
      <c r="G40" s="3">
        <v>9</v>
      </c>
      <c r="H40" s="3" t="s">
        <v>57</v>
      </c>
      <c r="I40" s="3">
        <v>1</v>
      </c>
      <c r="J40" s="3">
        <v>0.55579887500061897</v>
      </c>
      <c r="K40" s="3" t="s">
        <v>48</v>
      </c>
      <c r="L40" s="3">
        <v>9</v>
      </c>
      <c r="M40" s="3">
        <v>1</v>
      </c>
      <c r="N40" s="3">
        <v>37</v>
      </c>
      <c r="O40" s="3">
        <v>2</v>
      </c>
      <c r="P40" s="3">
        <v>63.6173258330018</v>
      </c>
      <c r="Q40" s="2"/>
      <c r="R40" s="2"/>
      <c r="S40" s="2"/>
      <c r="T40" s="2"/>
      <c r="U40" s="2"/>
      <c r="V40" s="2"/>
      <c r="W40" s="2"/>
      <c r="X40" s="2"/>
      <c r="Y40" s="2"/>
      <c r="Z40" s="3">
        <v>63.609516958000299</v>
      </c>
      <c r="AA40" s="3">
        <v>63.6173258330018</v>
      </c>
      <c r="AB40" s="3">
        <v>64.100717667002797</v>
      </c>
      <c r="AC40" s="3">
        <v>64.100717667002797</v>
      </c>
      <c r="AD40" s="3">
        <v>64.100717667002797</v>
      </c>
      <c r="AE40" s="3">
        <v>64.659478749999806</v>
      </c>
      <c r="AF40" s="3" t="s">
        <v>57</v>
      </c>
      <c r="AG40" s="3">
        <v>1</v>
      </c>
      <c r="AH40" s="3">
        <v>0.55579887500061897</v>
      </c>
      <c r="AI40" s="3" t="s">
        <v>48</v>
      </c>
      <c r="AJ40" s="2"/>
      <c r="AK40" s="2"/>
      <c r="AL40" s="2"/>
      <c r="AM40" s="2"/>
      <c r="AN40" s="3" t="s">
        <v>56</v>
      </c>
      <c r="AO40" s="3">
        <v>1</v>
      </c>
      <c r="AP40" s="3" t="s">
        <v>62</v>
      </c>
      <c r="AQ40" s="3" t="s">
        <v>51</v>
      </c>
      <c r="AR40" s="2"/>
      <c r="AS40" s="3" t="s">
        <v>52</v>
      </c>
      <c r="AT40" s="3">
        <v>119.861679618499</v>
      </c>
      <c r="AU40" s="3" t="s">
        <v>63</v>
      </c>
    </row>
    <row r="41" spans="1:47" x14ac:dyDescent="0.2">
      <c r="A41" s="1" t="s">
        <v>58</v>
      </c>
      <c r="B41" s="3" t="s">
        <v>60</v>
      </c>
      <c r="C41" s="3" t="s">
        <v>56</v>
      </c>
      <c r="D41" s="3" t="s">
        <v>61</v>
      </c>
      <c r="E41" s="3">
        <v>38</v>
      </c>
      <c r="F41" s="3">
        <v>2</v>
      </c>
      <c r="G41" s="3">
        <v>9</v>
      </c>
      <c r="H41" s="3" t="s">
        <v>61</v>
      </c>
      <c r="I41" s="3">
        <v>1</v>
      </c>
      <c r="J41" s="3">
        <v>0.74981729200226299</v>
      </c>
      <c r="K41" s="3" t="s">
        <v>48</v>
      </c>
      <c r="L41" s="3">
        <v>9</v>
      </c>
      <c r="M41" s="3">
        <v>2</v>
      </c>
      <c r="N41" s="3">
        <v>38</v>
      </c>
      <c r="O41" s="3">
        <v>1</v>
      </c>
      <c r="P41" s="3">
        <v>64.6669714579984</v>
      </c>
      <c r="Q41" s="2"/>
      <c r="R41" s="2"/>
      <c r="S41" s="2"/>
      <c r="T41" s="2"/>
      <c r="U41" s="2"/>
      <c r="V41" s="2"/>
      <c r="W41" s="2"/>
      <c r="X41" s="2"/>
      <c r="Y41" s="2"/>
      <c r="Z41" s="3">
        <v>64.660165041997999</v>
      </c>
      <c r="AA41" s="3">
        <v>64.6669714579984</v>
      </c>
      <c r="AB41" s="3">
        <v>65.150700917001799</v>
      </c>
      <c r="AC41" s="3">
        <v>65.150700917001799</v>
      </c>
      <c r="AD41" s="3">
        <v>65.150700917001799</v>
      </c>
      <c r="AE41" s="3">
        <v>65.909420707997896</v>
      </c>
      <c r="AF41" s="3" t="s">
        <v>61</v>
      </c>
      <c r="AG41" s="3">
        <v>1</v>
      </c>
      <c r="AH41" s="3">
        <v>0.74981729200226299</v>
      </c>
      <c r="AI41" s="3" t="s">
        <v>48</v>
      </c>
      <c r="AJ41" s="2"/>
      <c r="AK41" s="2"/>
      <c r="AL41" s="2"/>
      <c r="AM41" s="2"/>
      <c r="AN41" s="3" t="s">
        <v>56</v>
      </c>
      <c r="AO41" s="3">
        <v>1</v>
      </c>
      <c r="AP41" s="3" t="s">
        <v>62</v>
      </c>
      <c r="AQ41" s="3" t="s">
        <v>51</v>
      </c>
      <c r="AR41" s="2"/>
      <c r="AS41" s="3" t="s">
        <v>52</v>
      </c>
      <c r="AT41" s="3">
        <v>119.861679618499</v>
      </c>
      <c r="AU41" s="3" t="s">
        <v>63</v>
      </c>
    </row>
    <row r="42" spans="1:47" x14ac:dyDescent="0.2">
      <c r="A42" s="1" t="s">
        <v>58</v>
      </c>
      <c r="B42" s="3" t="s">
        <v>55</v>
      </c>
      <c r="C42" s="3" t="s">
        <v>59</v>
      </c>
      <c r="D42" s="3" t="s">
        <v>57</v>
      </c>
      <c r="E42" s="3">
        <v>39</v>
      </c>
      <c r="F42" s="3">
        <v>3</v>
      </c>
      <c r="G42" s="3">
        <v>9</v>
      </c>
      <c r="H42" s="3" t="s">
        <v>57</v>
      </c>
      <c r="I42" s="3">
        <v>1</v>
      </c>
      <c r="J42" s="3">
        <v>0.61699379199853899</v>
      </c>
      <c r="K42" s="3" t="s">
        <v>48</v>
      </c>
      <c r="L42" s="3">
        <v>9</v>
      </c>
      <c r="M42" s="3">
        <v>3</v>
      </c>
      <c r="N42" s="3">
        <v>39</v>
      </c>
      <c r="O42" s="3">
        <v>0</v>
      </c>
      <c r="P42" s="3">
        <v>65.917359667000696</v>
      </c>
      <c r="Q42" s="2"/>
      <c r="R42" s="2"/>
      <c r="S42" s="2"/>
      <c r="T42" s="2"/>
      <c r="U42" s="2"/>
      <c r="V42" s="2"/>
      <c r="W42" s="2"/>
      <c r="X42" s="2"/>
      <c r="Y42" s="2"/>
      <c r="Z42" s="3">
        <v>65.909593750002401</v>
      </c>
      <c r="AA42" s="3">
        <v>65.917359667000696</v>
      </c>
      <c r="AB42" s="3">
        <v>66.400456458002694</v>
      </c>
      <c r="AC42" s="3">
        <v>66.400456458002694</v>
      </c>
      <c r="AD42" s="3">
        <v>66.400456458002694</v>
      </c>
      <c r="AE42" s="3">
        <v>67.025885916999002</v>
      </c>
      <c r="AF42" s="3" t="s">
        <v>57</v>
      </c>
      <c r="AG42" s="3">
        <v>1</v>
      </c>
      <c r="AH42" s="3">
        <v>0.61699379199853899</v>
      </c>
      <c r="AI42" s="3" t="s">
        <v>48</v>
      </c>
      <c r="AJ42" s="2"/>
      <c r="AK42" s="2"/>
      <c r="AL42" s="2"/>
      <c r="AM42" s="2"/>
      <c r="AN42" s="3" t="s">
        <v>56</v>
      </c>
      <c r="AO42" s="3">
        <v>1</v>
      </c>
      <c r="AP42" s="3" t="s">
        <v>62</v>
      </c>
      <c r="AQ42" s="3" t="s">
        <v>51</v>
      </c>
      <c r="AR42" s="2"/>
      <c r="AS42" s="3" t="s">
        <v>52</v>
      </c>
      <c r="AT42" s="3">
        <v>119.861679618499</v>
      </c>
      <c r="AU42" s="3" t="s">
        <v>63</v>
      </c>
    </row>
    <row r="43" spans="1:4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>
        <v>67.025923332999795</v>
      </c>
      <c r="AK43" s="3">
        <v>67.0339176670022</v>
      </c>
      <c r="AL43" s="3">
        <v>69.025692082999697</v>
      </c>
      <c r="AM43" s="3">
        <v>69.017374750001196</v>
      </c>
      <c r="AN43" s="3" t="s">
        <v>56</v>
      </c>
      <c r="AO43" s="3">
        <v>1</v>
      </c>
      <c r="AP43" s="3" t="s">
        <v>62</v>
      </c>
      <c r="AQ43" s="3" t="s">
        <v>51</v>
      </c>
      <c r="AR43" s="2"/>
      <c r="AS43" s="3" t="s">
        <v>52</v>
      </c>
      <c r="AT43" s="3">
        <v>119.861679618499</v>
      </c>
      <c r="AU43" s="3" t="s">
        <v>63</v>
      </c>
    </row>
  </sheetData>
  <autoFilter ref="C1:C43" xr:uid="{D4938D48-3950-1F41-8CC5-0E9A8C418E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B48D-9B6C-3F49-9B37-E15F4A114483}">
  <dimension ref="A1:AV43"/>
  <sheetViews>
    <sheetView topLeftCell="B1" zoomScale="109" workbookViewId="0">
      <selection activeCell="G52" sqref="G52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/>
    </row>
    <row r="2" spans="1:4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b">
        <v>0</v>
      </c>
      <c r="S2" s="3">
        <v>1.15733330021612E-2</v>
      </c>
      <c r="T2" s="3">
        <v>1.9590041003539199E-2</v>
      </c>
      <c r="U2" s="3">
        <v>1.9590041003539199E-2</v>
      </c>
      <c r="V2" s="3">
        <v>49.696493832998399</v>
      </c>
      <c r="W2" s="3" t="s">
        <v>47</v>
      </c>
      <c r="X2" s="3">
        <v>49.660762292005501</v>
      </c>
      <c r="Y2" s="3" t="s">
        <v>48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 t="s">
        <v>49</v>
      </c>
      <c r="AO2" s="3">
        <v>2</v>
      </c>
      <c r="AP2" s="3" t="s">
        <v>50</v>
      </c>
      <c r="AQ2" s="3" t="s">
        <v>51</v>
      </c>
      <c r="AR2" s="2"/>
      <c r="AS2" s="3" t="s">
        <v>52</v>
      </c>
      <c r="AT2" s="3">
        <v>121.512281589049</v>
      </c>
      <c r="AU2" s="3" t="s">
        <v>53</v>
      </c>
      <c r="AV2" s="2"/>
    </row>
    <row r="3" spans="1:48" x14ac:dyDescent="0.2">
      <c r="A3" s="1" t="s">
        <v>54</v>
      </c>
      <c r="B3" s="3" t="s">
        <v>55</v>
      </c>
      <c r="C3" s="3" t="s">
        <v>56</v>
      </c>
      <c r="D3" s="3" t="s">
        <v>57</v>
      </c>
      <c r="E3" s="3">
        <v>0</v>
      </c>
      <c r="F3" s="3">
        <v>0</v>
      </c>
      <c r="G3" s="3">
        <v>0</v>
      </c>
      <c r="H3" s="3" t="s">
        <v>57</v>
      </c>
      <c r="I3" s="3">
        <v>1</v>
      </c>
      <c r="J3" s="3">
        <v>0.97839329199632596</v>
      </c>
      <c r="K3" s="3" t="s">
        <v>48</v>
      </c>
      <c r="L3" s="3">
        <v>0</v>
      </c>
      <c r="M3" s="3">
        <v>0</v>
      </c>
      <c r="N3" s="3">
        <v>0</v>
      </c>
      <c r="O3" s="3">
        <v>2</v>
      </c>
      <c r="P3" s="3">
        <v>49.718943166000798</v>
      </c>
      <c r="Q3" s="2"/>
      <c r="R3" s="2"/>
      <c r="S3" s="2"/>
      <c r="T3" s="2"/>
      <c r="U3" s="2"/>
      <c r="V3" s="2"/>
      <c r="W3" s="2"/>
      <c r="X3" s="2"/>
      <c r="Y3" s="2"/>
      <c r="Z3" s="3">
        <v>49.701012582998402</v>
      </c>
      <c r="AA3" s="3">
        <v>49.718943166000798</v>
      </c>
      <c r="AB3" s="3">
        <v>50.1939293749965</v>
      </c>
      <c r="AC3" s="3">
        <v>50.1939293749965</v>
      </c>
      <c r="AD3" s="3">
        <v>50.1939293749965</v>
      </c>
      <c r="AE3" s="3">
        <v>51.178097041003603</v>
      </c>
      <c r="AF3" s="3" t="s">
        <v>57</v>
      </c>
      <c r="AG3" s="3">
        <v>1</v>
      </c>
      <c r="AH3" s="3">
        <v>0.97839329199632596</v>
      </c>
      <c r="AI3" s="3" t="s">
        <v>48</v>
      </c>
      <c r="AJ3" s="2"/>
      <c r="AK3" s="2"/>
      <c r="AL3" s="2"/>
      <c r="AM3" s="2"/>
      <c r="AN3" s="3" t="s">
        <v>49</v>
      </c>
      <c r="AO3" s="3">
        <v>2</v>
      </c>
      <c r="AP3" s="3" t="s">
        <v>50</v>
      </c>
      <c r="AQ3" s="3" t="s">
        <v>51</v>
      </c>
      <c r="AR3" s="2"/>
      <c r="AS3" s="3" t="s">
        <v>52</v>
      </c>
      <c r="AT3" s="3">
        <v>121.512281589049</v>
      </c>
      <c r="AU3" s="3" t="s">
        <v>53</v>
      </c>
      <c r="AV3" s="2"/>
    </row>
    <row r="4" spans="1:48" x14ac:dyDescent="0.2">
      <c r="A4" s="1" t="s">
        <v>58</v>
      </c>
      <c r="B4" s="3" t="s">
        <v>55</v>
      </c>
      <c r="C4" s="3" t="s">
        <v>59</v>
      </c>
      <c r="D4" s="3" t="s">
        <v>57</v>
      </c>
      <c r="E4" s="3">
        <v>1</v>
      </c>
      <c r="F4" s="3">
        <v>1</v>
      </c>
      <c r="G4" s="3">
        <v>0</v>
      </c>
      <c r="H4" s="3" t="s">
        <v>57</v>
      </c>
      <c r="I4" s="3">
        <v>1</v>
      </c>
      <c r="J4" s="3">
        <v>1.1671881250003899</v>
      </c>
      <c r="K4" s="3" t="s">
        <v>48</v>
      </c>
      <c r="L4" s="3">
        <v>0</v>
      </c>
      <c r="M4" s="3">
        <v>1</v>
      </c>
      <c r="N4" s="3">
        <v>1</v>
      </c>
      <c r="O4" s="3">
        <v>0</v>
      </c>
      <c r="P4" s="3">
        <v>51.1851719580009</v>
      </c>
      <c r="Q4" s="2"/>
      <c r="R4" s="2"/>
      <c r="S4" s="2"/>
      <c r="T4" s="2"/>
      <c r="U4" s="2"/>
      <c r="V4" s="2"/>
      <c r="W4" s="2"/>
      <c r="X4" s="2"/>
      <c r="Y4" s="2"/>
      <c r="Z4" s="3">
        <v>51.179412874997098</v>
      </c>
      <c r="AA4" s="3">
        <v>51.1851719580009</v>
      </c>
      <c r="AB4" s="3">
        <v>51.669082583001</v>
      </c>
      <c r="AC4" s="3">
        <v>51.669082583001</v>
      </c>
      <c r="AD4" s="3">
        <v>51.669082583001</v>
      </c>
      <c r="AE4" s="3">
        <v>52.844056750000199</v>
      </c>
      <c r="AF4" s="3" t="s">
        <v>57</v>
      </c>
      <c r="AG4" s="3">
        <v>1</v>
      </c>
      <c r="AH4" s="3">
        <v>1.1671881250003899</v>
      </c>
      <c r="AI4" s="3" t="s">
        <v>48</v>
      </c>
      <c r="AJ4" s="2"/>
      <c r="AK4" s="2"/>
      <c r="AL4" s="2"/>
      <c r="AM4" s="2"/>
      <c r="AN4" s="3" t="s">
        <v>49</v>
      </c>
      <c r="AO4" s="3">
        <v>2</v>
      </c>
      <c r="AP4" s="3" t="s">
        <v>50</v>
      </c>
      <c r="AQ4" s="3" t="s">
        <v>51</v>
      </c>
      <c r="AR4" s="2"/>
      <c r="AS4" s="3" t="s">
        <v>52</v>
      </c>
      <c r="AT4" s="3">
        <v>121.512281589049</v>
      </c>
      <c r="AU4" s="3" t="s">
        <v>53</v>
      </c>
      <c r="AV4" s="2"/>
    </row>
    <row r="5" spans="1:48" x14ac:dyDescent="0.2">
      <c r="A5" s="1" t="s">
        <v>54</v>
      </c>
      <c r="B5" s="3" t="s">
        <v>60</v>
      </c>
      <c r="C5" s="3" t="s">
        <v>59</v>
      </c>
      <c r="D5" s="3" t="s">
        <v>61</v>
      </c>
      <c r="E5" s="3">
        <v>2</v>
      </c>
      <c r="F5" s="3">
        <v>2</v>
      </c>
      <c r="G5" s="3">
        <v>0</v>
      </c>
      <c r="H5" s="3" t="s">
        <v>61</v>
      </c>
      <c r="I5" s="3">
        <v>1</v>
      </c>
      <c r="J5" s="3">
        <v>0.46345087499503301</v>
      </c>
      <c r="K5" s="3" t="s">
        <v>48</v>
      </c>
      <c r="L5" s="3">
        <v>0</v>
      </c>
      <c r="M5" s="3">
        <v>2</v>
      </c>
      <c r="N5" s="3">
        <v>2</v>
      </c>
      <c r="O5" s="3">
        <v>3</v>
      </c>
      <c r="P5" s="3">
        <v>52.852047915999698</v>
      </c>
      <c r="Q5" s="2"/>
      <c r="R5" s="2"/>
      <c r="S5" s="2"/>
      <c r="T5" s="2"/>
      <c r="U5" s="2"/>
      <c r="V5" s="2"/>
      <c r="W5" s="2"/>
      <c r="X5" s="2"/>
      <c r="Y5" s="2"/>
      <c r="Z5" s="3">
        <v>52.844753083001699</v>
      </c>
      <c r="AA5" s="3">
        <v>52.852047915999698</v>
      </c>
      <c r="AB5" s="3">
        <v>53.335759790999901</v>
      </c>
      <c r="AC5" s="3">
        <v>53.335759790999901</v>
      </c>
      <c r="AD5" s="3">
        <v>53.335759790999901</v>
      </c>
      <c r="AE5" s="3">
        <v>53.802466415996598</v>
      </c>
      <c r="AF5" s="3" t="s">
        <v>61</v>
      </c>
      <c r="AG5" s="3">
        <v>1</v>
      </c>
      <c r="AH5" s="3">
        <v>0.46345087499503301</v>
      </c>
      <c r="AI5" s="3" t="s">
        <v>48</v>
      </c>
      <c r="AJ5" s="2"/>
      <c r="AK5" s="2"/>
      <c r="AL5" s="2"/>
      <c r="AM5" s="2"/>
      <c r="AN5" s="3" t="s">
        <v>49</v>
      </c>
      <c r="AO5" s="3">
        <v>2</v>
      </c>
      <c r="AP5" s="3" t="s">
        <v>50</v>
      </c>
      <c r="AQ5" s="3" t="s">
        <v>51</v>
      </c>
      <c r="AR5" s="2"/>
      <c r="AS5" s="3" t="s">
        <v>52</v>
      </c>
      <c r="AT5" s="3">
        <v>121.512281589049</v>
      </c>
      <c r="AU5" s="3" t="s">
        <v>53</v>
      </c>
      <c r="AV5" s="2"/>
    </row>
    <row r="6" spans="1:48" x14ac:dyDescent="0.2">
      <c r="A6" s="1" t="s">
        <v>58</v>
      </c>
      <c r="B6" s="3" t="s">
        <v>60</v>
      </c>
      <c r="C6" s="3" t="s">
        <v>56</v>
      </c>
      <c r="D6" s="3" t="s">
        <v>61</v>
      </c>
      <c r="E6" s="3">
        <v>3</v>
      </c>
      <c r="F6" s="3">
        <v>3</v>
      </c>
      <c r="G6" s="3">
        <v>0</v>
      </c>
      <c r="H6" s="3" t="s">
        <v>61</v>
      </c>
      <c r="I6" s="3">
        <v>1</v>
      </c>
      <c r="J6" s="3">
        <v>0.62503195799945399</v>
      </c>
      <c r="K6" s="3" t="s">
        <v>48</v>
      </c>
      <c r="L6" s="3">
        <v>0</v>
      </c>
      <c r="M6" s="3">
        <v>3</v>
      </c>
      <c r="N6" s="3">
        <v>3</v>
      </c>
      <c r="O6" s="3">
        <v>1</v>
      </c>
      <c r="P6" s="3">
        <v>53.8106634159994</v>
      </c>
      <c r="Q6" s="2"/>
      <c r="R6" s="2"/>
      <c r="S6" s="2"/>
      <c r="T6" s="2"/>
      <c r="U6" s="2"/>
      <c r="V6" s="2"/>
      <c r="W6" s="2"/>
      <c r="X6" s="2"/>
      <c r="Y6" s="2"/>
      <c r="Z6" s="3">
        <v>53.803163290998803</v>
      </c>
      <c r="AA6" s="3">
        <v>53.8106634159994</v>
      </c>
      <c r="AB6" s="3">
        <v>54.293313166002903</v>
      </c>
      <c r="AC6" s="3">
        <v>54.293313166002903</v>
      </c>
      <c r="AD6" s="3">
        <v>54.293313166002903</v>
      </c>
      <c r="AE6" s="3">
        <v>54.919085291003299</v>
      </c>
      <c r="AF6" s="3" t="s">
        <v>61</v>
      </c>
      <c r="AG6" s="3">
        <v>1</v>
      </c>
      <c r="AH6" s="3">
        <v>0.62503195799945399</v>
      </c>
      <c r="AI6" s="3" t="s">
        <v>48</v>
      </c>
      <c r="AJ6" s="2"/>
      <c r="AK6" s="2"/>
      <c r="AL6" s="2"/>
      <c r="AM6" s="2"/>
      <c r="AN6" s="3" t="s">
        <v>49</v>
      </c>
      <c r="AO6" s="3">
        <v>2</v>
      </c>
      <c r="AP6" s="3" t="s">
        <v>50</v>
      </c>
      <c r="AQ6" s="3" t="s">
        <v>51</v>
      </c>
      <c r="AR6" s="2"/>
      <c r="AS6" s="3" t="s">
        <v>52</v>
      </c>
      <c r="AT6" s="3">
        <v>121.512281589049</v>
      </c>
      <c r="AU6" s="3" t="s">
        <v>53</v>
      </c>
      <c r="AV6" s="2"/>
    </row>
    <row r="7" spans="1:48" x14ac:dyDescent="0.2">
      <c r="A7" s="1" t="s">
        <v>58</v>
      </c>
      <c r="B7" s="3" t="s">
        <v>55</v>
      </c>
      <c r="C7" s="3" t="s">
        <v>59</v>
      </c>
      <c r="D7" s="3" t="s">
        <v>57</v>
      </c>
      <c r="E7" s="3">
        <v>4</v>
      </c>
      <c r="F7" s="3">
        <v>0</v>
      </c>
      <c r="G7" s="3">
        <v>1</v>
      </c>
      <c r="H7" s="3" t="s">
        <v>57</v>
      </c>
      <c r="I7" s="3">
        <v>1</v>
      </c>
      <c r="J7" s="3">
        <v>1.3862190829968299</v>
      </c>
      <c r="K7" s="3" t="s">
        <v>48</v>
      </c>
      <c r="L7" s="3">
        <v>1</v>
      </c>
      <c r="M7" s="3">
        <v>0</v>
      </c>
      <c r="N7" s="3">
        <v>4</v>
      </c>
      <c r="O7" s="3">
        <v>0</v>
      </c>
      <c r="P7" s="3">
        <v>54.927277875001899</v>
      </c>
      <c r="Q7" s="2"/>
      <c r="R7" s="2"/>
      <c r="S7" s="2"/>
      <c r="T7" s="2"/>
      <c r="U7" s="2"/>
      <c r="V7" s="2"/>
      <c r="W7" s="2"/>
      <c r="X7" s="2"/>
      <c r="Y7" s="2"/>
      <c r="Z7" s="3">
        <v>54.9192282500007</v>
      </c>
      <c r="AA7" s="3">
        <v>54.927277875001899</v>
      </c>
      <c r="AB7" s="3">
        <v>55.409919416000797</v>
      </c>
      <c r="AC7" s="3">
        <v>55.409919416000797</v>
      </c>
      <c r="AD7" s="3">
        <v>55.409919416000797</v>
      </c>
      <c r="AE7" s="3">
        <v>56.8025894579987</v>
      </c>
      <c r="AF7" s="3" t="s">
        <v>57</v>
      </c>
      <c r="AG7" s="3">
        <v>1</v>
      </c>
      <c r="AH7" s="3">
        <v>1.3862190829968299</v>
      </c>
      <c r="AI7" s="3" t="s">
        <v>48</v>
      </c>
      <c r="AJ7" s="2"/>
      <c r="AK7" s="2"/>
      <c r="AL7" s="2"/>
      <c r="AM7" s="2"/>
      <c r="AN7" s="3" t="s">
        <v>49</v>
      </c>
      <c r="AO7" s="3">
        <v>2</v>
      </c>
      <c r="AP7" s="3" t="s">
        <v>50</v>
      </c>
      <c r="AQ7" s="3" t="s">
        <v>51</v>
      </c>
      <c r="AR7" s="2"/>
      <c r="AS7" s="3" t="s">
        <v>52</v>
      </c>
      <c r="AT7" s="3">
        <v>121.512281589049</v>
      </c>
      <c r="AU7" s="3" t="s">
        <v>53</v>
      </c>
      <c r="AV7" s="2"/>
    </row>
    <row r="8" spans="1:48" x14ac:dyDescent="0.2">
      <c r="A8" s="1" t="s">
        <v>54</v>
      </c>
      <c r="B8" s="3" t="s">
        <v>60</v>
      </c>
      <c r="C8" s="3" t="s">
        <v>59</v>
      </c>
      <c r="D8" s="3" t="s">
        <v>61</v>
      </c>
      <c r="E8" s="3">
        <v>5</v>
      </c>
      <c r="F8" s="3">
        <v>1</v>
      </c>
      <c r="G8" s="3">
        <v>1</v>
      </c>
      <c r="H8" s="3" t="s">
        <v>61</v>
      </c>
      <c r="I8" s="3">
        <v>1</v>
      </c>
      <c r="J8" s="3">
        <v>0.71665920800296601</v>
      </c>
      <c r="K8" s="3" t="s">
        <v>48</v>
      </c>
      <c r="L8" s="3">
        <v>1</v>
      </c>
      <c r="M8" s="3">
        <v>1</v>
      </c>
      <c r="N8" s="3">
        <v>5</v>
      </c>
      <c r="O8" s="3">
        <v>3</v>
      </c>
      <c r="P8" s="3">
        <v>56.810117291002797</v>
      </c>
      <c r="Q8" s="2"/>
      <c r="R8" s="2"/>
      <c r="S8" s="2"/>
      <c r="T8" s="2"/>
      <c r="U8" s="2"/>
      <c r="V8" s="2"/>
      <c r="W8" s="2"/>
      <c r="X8" s="2"/>
      <c r="Y8" s="2"/>
      <c r="Z8" s="3">
        <v>56.803241540998002</v>
      </c>
      <c r="AA8" s="3">
        <v>56.810117291002797</v>
      </c>
      <c r="AB8" s="3">
        <v>57.2934476660012</v>
      </c>
      <c r="AC8" s="3">
        <v>57.2934476660012</v>
      </c>
      <c r="AD8" s="3">
        <v>57.2934476660012</v>
      </c>
      <c r="AE8" s="3">
        <v>58.0108697910036</v>
      </c>
      <c r="AF8" s="3" t="s">
        <v>61</v>
      </c>
      <c r="AG8" s="3">
        <v>1</v>
      </c>
      <c r="AH8" s="3">
        <v>0.71665920800296601</v>
      </c>
      <c r="AI8" s="3" t="s">
        <v>48</v>
      </c>
      <c r="AJ8" s="2"/>
      <c r="AK8" s="2"/>
      <c r="AL8" s="2"/>
      <c r="AM8" s="2"/>
      <c r="AN8" s="3" t="s">
        <v>49</v>
      </c>
      <c r="AO8" s="3">
        <v>2</v>
      </c>
      <c r="AP8" s="3" t="s">
        <v>50</v>
      </c>
      <c r="AQ8" s="3" t="s">
        <v>51</v>
      </c>
      <c r="AR8" s="2"/>
      <c r="AS8" s="3" t="s">
        <v>52</v>
      </c>
      <c r="AT8" s="3">
        <v>121.512281589049</v>
      </c>
      <c r="AU8" s="3" t="s">
        <v>53</v>
      </c>
      <c r="AV8" s="2"/>
    </row>
    <row r="9" spans="1:48" x14ac:dyDescent="0.2">
      <c r="A9" s="1" t="s">
        <v>58</v>
      </c>
      <c r="B9" s="3" t="s">
        <v>60</v>
      </c>
      <c r="C9" s="3" t="s">
        <v>56</v>
      </c>
      <c r="D9" s="3" t="s">
        <v>61</v>
      </c>
      <c r="E9" s="3">
        <v>6</v>
      </c>
      <c r="F9" s="3">
        <v>2</v>
      </c>
      <c r="G9" s="3">
        <v>1</v>
      </c>
      <c r="H9" s="3" t="s">
        <v>61</v>
      </c>
      <c r="I9" s="3">
        <v>1</v>
      </c>
      <c r="J9" s="3">
        <v>0.682258249995357</v>
      </c>
      <c r="K9" s="3" t="s">
        <v>48</v>
      </c>
      <c r="L9" s="3">
        <v>1</v>
      </c>
      <c r="M9" s="3">
        <v>2</v>
      </c>
      <c r="N9" s="3">
        <v>6</v>
      </c>
      <c r="O9" s="3">
        <v>1</v>
      </c>
      <c r="P9" s="3">
        <v>58.018866666003298</v>
      </c>
      <c r="Q9" s="2"/>
      <c r="R9" s="2"/>
      <c r="S9" s="2"/>
      <c r="T9" s="2"/>
      <c r="U9" s="2"/>
      <c r="V9" s="2"/>
      <c r="W9" s="2"/>
      <c r="X9" s="2"/>
      <c r="Y9" s="2"/>
      <c r="Z9" s="3">
        <v>58.011467791002403</v>
      </c>
      <c r="AA9" s="3">
        <v>58.018866666003298</v>
      </c>
      <c r="AB9" s="3">
        <v>58.501818083001098</v>
      </c>
      <c r="AC9" s="3">
        <v>58.501818083001098</v>
      </c>
      <c r="AD9" s="3">
        <v>58.501818083001098</v>
      </c>
      <c r="AE9" s="3">
        <v>59.185721458001403</v>
      </c>
      <c r="AF9" s="3" t="s">
        <v>61</v>
      </c>
      <c r="AG9" s="3">
        <v>1</v>
      </c>
      <c r="AH9" s="3">
        <v>0.682258249995357</v>
      </c>
      <c r="AI9" s="3" t="s">
        <v>48</v>
      </c>
      <c r="AJ9" s="2"/>
      <c r="AK9" s="2"/>
      <c r="AL9" s="2"/>
      <c r="AM9" s="2"/>
      <c r="AN9" s="3" t="s">
        <v>49</v>
      </c>
      <c r="AO9" s="3">
        <v>2</v>
      </c>
      <c r="AP9" s="3" t="s">
        <v>50</v>
      </c>
      <c r="AQ9" s="3" t="s">
        <v>51</v>
      </c>
      <c r="AR9" s="2"/>
      <c r="AS9" s="3" t="s">
        <v>52</v>
      </c>
      <c r="AT9" s="3">
        <v>121.512281589049</v>
      </c>
      <c r="AU9" s="3" t="s">
        <v>53</v>
      </c>
      <c r="AV9" s="2"/>
    </row>
    <row r="10" spans="1:48" x14ac:dyDescent="0.2">
      <c r="A10" s="1" t="s">
        <v>54</v>
      </c>
      <c r="B10" s="3" t="s">
        <v>55</v>
      </c>
      <c r="C10" s="3" t="s">
        <v>56</v>
      </c>
      <c r="D10" s="3" t="s">
        <v>57</v>
      </c>
      <c r="E10" s="3">
        <v>7</v>
      </c>
      <c r="F10" s="3">
        <v>3</v>
      </c>
      <c r="G10" s="3">
        <v>1</v>
      </c>
      <c r="H10" s="3" t="s">
        <v>57</v>
      </c>
      <c r="I10" s="3">
        <v>1</v>
      </c>
      <c r="J10" s="3">
        <v>0.62075366600038295</v>
      </c>
      <c r="K10" s="3" t="s">
        <v>48</v>
      </c>
      <c r="L10" s="3">
        <v>1</v>
      </c>
      <c r="M10" s="3">
        <v>3</v>
      </c>
      <c r="N10" s="3">
        <v>7</v>
      </c>
      <c r="O10" s="3">
        <v>2</v>
      </c>
      <c r="P10" s="3">
        <v>59.193545000001897</v>
      </c>
      <c r="Q10" s="2"/>
      <c r="R10" s="2"/>
      <c r="S10" s="2"/>
      <c r="T10" s="2"/>
      <c r="U10" s="2"/>
      <c r="V10" s="2"/>
      <c r="W10" s="2"/>
      <c r="X10" s="2"/>
      <c r="Y10" s="2"/>
      <c r="Z10" s="3">
        <v>59.186357291000597</v>
      </c>
      <c r="AA10" s="3">
        <v>59.193545000001897</v>
      </c>
      <c r="AB10" s="3">
        <v>59.677237208001301</v>
      </c>
      <c r="AC10" s="3">
        <v>59.677237208001301</v>
      </c>
      <c r="AD10" s="3">
        <v>59.677237208001301</v>
      </c>
      <c r="AE10" s="3">
        <v>60.302008582999399</v>
      </c>
      <c r="AF10" s="3" t="s">
        <v>57</v>
      </c>
      <c r="AG10" s="3">
        <v>1</v>
      </c>
      <c r="AH10" s="3">
        <v>0.62075366600038295</v>
      </c>
      <c r="AI10" s="3" t="s">
        <v>48</v>
      </c>
      <c r="AJ10" s="2"/>
      <c r="AK10" s="2"/>
      <c r="AL10" s="2"/>
      <c r="AM10" s="2"/>
      <c r="AN10" s="3" t="s">
        <v>49</v>
      </c>
      <c r="AO10" s="3">
        <v>2</v>
      </c>
      <c r="AP10" s="3" t="s">
        <v>50</v>
      </c>
      <c r="AQ10" s="3" t="s">
        <v>51</v>
      </c>
      <c r="AR10" s="2"/>
      <c r="AS10" s="3" t="s">
        <v>52</v>
      </c>
      <c r="AT10" s="3">
        <v>121.512281589049</v>
      </c>
      <c r="AU10" s="3" t="s">
        <v>53</v>
      </c>
      <c r="AV10" s="2"/>
    </row>
    <row r="11" spans="1:48" x14ac:dyDescent="0.2">
      <c r="A11" s="1" t="s">
        <v>54</v>
      </c>
      <c r="B11" s="3" t="s">
        <v>55</v>
      </c>
      <c r="C11" s="3" t="s">
        <v>56</v>
      </c>
      <c r="D11" s="3" t="s">
        <v>57</v>
      </c>
      <c r="E11" s="3">
        <v>8</v>
      </c>
      <c r="F11" s="3">
        <v>0</v>
      </c>
      <c r="G11" s="3">
        <v>2</v>
      </c>
      <c r="H11" s="3" t="s">
        <v>57</v>
      </c>
      <c r="I11" s="3">
        <v>1</v>
      </c>
      <c r="J11" s="3">
        <v>0.76110141699609801</v>
      </c>
      <c r="K11" s="3" t="s">
        <v>48</v>
      </c>
      <c r="L11" s="3">
        <v>2</v>
      </c>
      <c r="M11" s="3">
        <v>0</v>
      </c>
      <c r="N11" s="3">
        <v>8</v>
      </c>
      <c r="O11" s="3">
        <v>2</v>
      </c>
      <c r="P11" s="3">
        <v>60.310199291001503</v>
      </c>
      <c r="Q11" s="2"/>
      <c r="R11" s="2"/>
      <c r="S11" s="2"/>
      <c r="T11" s="2"/>
      <c r="U11" s="2"/>
      <c r="V11" s="2"/>
      <c r="W11" s="2"/>
      <c r="X11" s="2"/>
      <c r="Y11" s="2"/>
      <c r="Z11" s="3">
        <v>60.302148415998097</v>
      </c>
      <c r="AA11" s="3">
        <v>60.310199291001503</v>
      </c>
      <c r="AB11" s="3">
        <v>60.7938381249987</v>
      </c>
      <c r="AC11" s="3">
        <v>60.7938381249987</v>
      </c>
      <c r="AD11" s="3">
        <v>60.7938381249987</v>
      </c>
      <c r="AE11" s="3">
        <v>61.5607748749972</v>
      </c>
      <c r="AF11" s="3" t="s">
        <v>57</v>
      </c>
      <c r="AG11" s="3">
        <v>1</v>
      </c>
      <c r="AH11" s="3">
        <v>0.76110141699609801</v>
      </c>
      <c r="AI11" s="3" t="s">
        <v>48</v>
      </c>
      <c r="AJ11" s="2"/>
      <c r="AK11" s="2"/>
      <c r="AL11" s="2"/>
      <c r="AM11" s="2"/>
      <c r="AN11" s="3" t="s">
        <v>49</v>
      </c>
      <c r="AO11" s="3">
        <v>2</v>
      </c>
      <c r="AP11" s="3" t="s">
        <v>50</v>
      </c>
      <c r="AQ11" s="3" t="s">
        <v>51</v>
      </c>
      <c r="AR11" s="2"/>
      <c r="AS11" s="3" t="s">
        <v>52</v>
      </c>
      <c r="AT11" s="3">
        <v>121.512281589049</v>
      </c>
      <c r="AU11" s="3" t="s">
        <v>53</v>
      </c>
      <c r="AV11" s="2"/>
    </row>
    <row r="12" spans="1:48" x14ac:dyDescent="0.2">
      <c r="A12" s="1" t="s">
        <v>58</v>
      </c>
      <c r="B12" s="3" t="s">
        <v>55</v>
      </c>
      <c r="C12" s="3" t="s">
        <v>59</v>
      </c>
      <c r="D12" s="3" t="s">
        <v>57</v>
      </c>
      <c r="E12" s="3">
        <v>9</v>
      </c>
      <c r="F12" s="3">
        <v>1</v>
      </c>
      <c r="G12" s="3">
        <v>2</v>
      </c>
      <c r="H12" s="3" t="s">
        <v>57</v>
      </c>
      <c r="I12" s="3">
        <v>1</v>
      </c>
      <c r="J12" s="3">
        <v>0.54696895900269704</v>
      </c>
      <c r="K12" s="3" t="s">
        <v>48</v>
      </c>
      <c r="L12" s="3">
        <v>2</v>
      </c>
      <c r="M12" s="3">
        <v>1</v>
      </c>
      <c r="N12" s="3">
        <v>9</v>
      </c>
      <c r="O12" s="3">
        <v>0</v>
      </c>
      <c r="P12" s="3">
        <v>61.568531249999097</v>
      </c>
      <c r="Q12" s="2"/>
      <c r="R12" s="2"/>
      <c r="S12" s="2"/>
      <c r="T12" s="2"/>
      <c r="U12" s="2"/>
      <c r="V12" s="2"/>
      <c r="W12" s="2"/>
      <c r="X12" s="2"/>
      <c r="Y12" s="2"/>
      <c r="Z12" s="3">
        <v>61.5613978330002</v>
      </c>
      <c r="AA12" s="3">
        <v>61.568531249999097</v>
      </c>
      <c r="AB12" s="3">
        <v>62.051933750000899</v>
      </c>
      <c r="AC12" s="3">
        <v>62.051933750000899</v>
      </c>
      <c r="AD12" s="3">
        <v>62.051933750000899</v>
      </c>
      <c r="AE12" s="3">
        <v>62.6022500410036</v>
      </c>
      <c r="AF12" s="3" t="s">
        <v>57</v>
      </c>
      <c r="AG12" s="3">
        <v>1</v>
      </c>
      <c r="AH12" s="3">
        <v>0.54696895900269704</v>
      </c>
      <c r="AI12" s="3" t="s">
        <v>48</v>
      </c>
      <c r="AJ12" s="2"/>
      <c r="AK12" s="2"/>
      <c r="AL12" s="2"/>
      <c r="AM12" s="2"/>
      <c r="AN12" s="3" t="s">
        <v>49</v>
      </c>
      <c r="AO12" s="3">
        <v>2</v>
      </c>
      <c r="AP12" s="3" t="s">
        <v>50</v>
      </c>
      <c r="AQ12" s="3" t="s">
        <v>51</v>
      </c>
      <c r="AR12" s="2"/>
      <c r="AS12" s="3" t="s">
        <v>52</v>
      </c>
      <c r="AT12" s="3">
        <v>121.512281589049</v>
      </c>
      <c r="AU12" s="3" t="s">
        <v>53</v>
      </c>
      <c r="AV12" s="2"/>
    </row>
    <row r="13" spans="1:48" x14ac:dyDescent="0.2">
      <c r="A13" s="1" t="s">
        <v>54</v>
      </c>
      <c r="B13" s="3" t="s">
        <v>60</v>
      </c>
      <c r="C13" s="3" t="s">
        <v>59</v>
      </c>
      <c r="D13" s="3" t="s">
        <v>61</v>
      </c>
      <c r="E13" s="3">
        <v>10</v>
      </c>
      <c r="F13" s="3">
        <v>2</v>
      </c>
      <c r="G13" s="3">
        <v>2</v>
      </c>
      <c r="H13" s="3" t="s">
        <v>61</v>
      </c>
      <c r="I13" s="3">
        <v>1</v>
      </c>
      <c r="J13" s="3">
        <v>0.54809300000488304</v>
      </c>
      <c r="K13" s="3" t="s">
        <v>48</v>
      </c>
      <c r="L13" s="3">
        <v>2</v>
      </c>
      <c r="M13" s="3">
        <v>2</v>
      </c>
      <c r="N13" s="3">
        <v>10</v>
      </c>
      <c r="O13" s="3">
        <v>3</v>
      </c>
      <c r="P13" s="3">
        <v>62.610016666003503</v>
      </c>
      <c r="Q13" s="2"/>
      <c r="R13" s="2"/>
      <c r="S13" s="2"/>
      <c r="T13" s="2"/>
      <c r="U13" s="2"/>
      <c r="V13" s="2"/>
      <c r="W13" s="2"/>
      <c r="X13" s="2"/>
      <c r="Y13" s="2"/>
      <c r="Z13" s="3">
        <v>62.602972291002501</v>
      </c>
      <c r="AA13" s="3">
        <v>62.610016666003503</v>
      </c>
      <c r="AB13" s="3">
        <v>63.093776125002499</v>
      </c>
      <c r="AC13" s="3">
        <v>63.093776125002499</v>
      </c>
      <c r="AD13" s="3">
        <v>63.093776125002499</v>
      </c>
      <c r="AE13" s="3">
        <v>63.643787250002802</v>
      </c>
      <c r="AF13" s="3" t="s">
        <v>61</v>
      </c>
      <c r="AG13" s="3">
        <v>1</v>
      </c>
      <c r="AH13" s="3">
        <v>0.54809300000488304</v>
      </c>
      <c r="AI13" s="3" t="s">
        <v>48</v>
      </c>
      <c r="AJ13" s="2"/>
      <c r="AK13" s="2"/>
      <c r="AL13" s="2"/>
      <c r="AM13" s="2"/>
      <c r="AN13" s="3" t="s">
        <v>49</v>
      </c>
      <c r="AO13" s="3">
        <v>2</v>
      </c>
      <c r="AP13" s="3" t="s">
        <v>50</v>
      </c>
      <c r="AQ13" s="3" t="s">
        <v>51</v>
      </c>
      <c r="AR13" s="2"/>
      <c r="AS13" s="3" t="s">
        <v>52</v>
      </c>
      <c r="AT13" s="3">
        <v>121.512281589049</v>
      </c>
      <c r="AU13" s="3" t="s">
        <v>53</v>
      </c>
      <c r="AV13" s="2"/>
    </row>
    <row r="14" spans="1:48" x14ac:dyDescent="0.2">
      <c r="A14" s="1" t="s">
        <v>58</v>
      </c>
      <c r="B14" s="3" t="s">
        <v>60</v>
      </c>
      <c r="C14" s="3" t="s">
        <v>56</v>
      </c>
      <c r="D14" s="3" t="s">
        <v>61</v>
      </c>
      <c r="E14" s="3">
        <v>11</v>
      </c>
      <c r="F14" s="3">
        <v>3</v>
      </c>
      <c r="G14" s="3">
        <v>2</v>
      </c>
      <c r="H14" s="3" t="s">
        <v>61</v>
      </c>
      <c r="I14" s="3">
        <v>1</v>
      </c>
      <c r="J14" s="3">
        <v>0.70668699999805495</v>
      </c>
      <c r="K14" s="3" t="s">
        <v>48</v>
      </c>
      <c r="L14" s="3">
        <v>2</v>
      </c>
      <c r="M14" s="3">
        <v>3</v>
      </c>
      <c r="N14" s="3">
        <v>11</v>
      </c>
      <c r="O14" s="3">
        <v>1</v>
      </c>
      <c r="P14" s="3">
        <v>63.651830707996901</v>
      </c>
      <c r="Q14" s="2"/>
      <c r="R14" s="2"/>
      <c r="S14" s="2"/>
      <c r="T14" s="2"/>
      <c r="U14" s="2"/>
      <c r="V14" s="2"/>
      <c r="W14" s="2"/>
      <c r="X14" s="2"/>
      <c r="Y14" s="2"/>
      <c r="Z14" s="3">
        <v>63.644349875001403</v>
      </c>
      <c r="AA14" s="3">
        <v>63.651830707996901</v>
      </c>
      <c r="AB14" s="3">
        <v>64.135123499996595</v>
      </c>
      <c r="AC14" s="3">
        <v>64.135123499996595</v>
      </c>
      <c r="AD14" s="3">
        <v>64.135123499996595</v>
      </c>
      <c r="AE14" s="3">
        <v>64.843744332996707</v>
      </c>
      <c r="AF14" s="3" t="s">
        <v>61</v>
      </c>
      <c r="AG14" s="3">
        <v>1</v>
      </c>
      <c r="AH14" s="3">
        <v>0.70668699999805495</v>
      </c>
      <c r="AI14" s="3" t="s">
        <v>48</v>
      </c>
      <c r="AJ14" s="2"/>
      <c r="AK14" s="2"/>
      <c r="AL14" s="2"/>
      <c r="AM14" s="2"/>
      <c r="AN14" s="3" t="s">
        <v>49</v>
      </c>
      <c r="AO14" s="3">
        <v>2</v>
      </c>
      <c r="AP14" s="3" t="s">
        <v>50</v>
      </c>
      <c r="AQ14" s="3" t="s">
        <v>51</v>
      </c>
      <c r="AR14" s="2"/>
      <c r="AS14" s="3" t="s">
        <v>52</v>
      </c>
      <c r="AT14" s="3">
        <v>121.512281589049</v>
      </c>
      <c r="AU14" s="3" t="s">
        <v>53</v>
      </c>
      <c r="AV14" s="2"/>
    </row>
    <row r="15" spans="1:48" x14ac:dyDescent="0.2">
      <c r="A15" s="1" t="s">
        <v>58</v>
      </c>
      <c r="B15" s="3" t="s">
        <v>55</v>
      </c>
      <c r="C15" s="3" t="s">
        <v>59</v>
      </c>
      <c r="D15" s="3" t="s">
        <v>57</v>
      </c>
      <c r="E15" s="3">
        <v>12</v>
      </c>
      <c r="F15" s="3">
        <v>0</v>
      </c>
      <c r="G15" s="3">
        <v>3</v>
      </c>
      <c r="H15" s="3" t="s">
        <v>57</v>
      </c>
      <c r="I15" s="3">
        <v>1</v>
      </c>
      <c r="J15" s="3">
        <v>0.40835845800029302</v>
      </c>
      <c r="K15" s="3" t="s">
        <v>48</v>
      </c>
      <c r="L15" s="3">
        <v>3</v>
      </c>
      <c r="M15" s="3">
        <v>0</v>
      </c>
      <c r="N15" s="3">
        <v>12</v>
      </c>
      <c r="O15" s="3">
        <v>0</v>
      </c>
      <c r="P15" s="3">
        <v>64.851680040999796</v>
      </c>
      <c r="Q15" s="2"/>
      <c r="R15" s="2"/>
      <c r="S15" s="2"/>
      <c r="T15" s="2"/>
      <c r="U15" s="2"/>
      <c r="V15" s="2"/>
      <c r="W15" s="2"/>
      <c r="X15" s="2"/>
      <c r="Y15" s="2"/>
      <c r="Z15" s="3">
        <v>64.843881291002603</v>
      </c>
      <c r="AA15" s="3">
        <v>64.851680040999796</v>
      </c>
      <c r="AB15" s="3">
        <v>65.335432874999199</v>
      </c>
      <c r="AC15" s="3">
        <v>65.335432874999199</v>
      </c>
      <c r="AD15" s="3">
        <v>65.335432874999199</v>
      </c>
      <c r="AE15" s="3">
        <v>65.752350791000893</v>
      </c>
      <c r="AF15" s="3" t="s">
        <v>57</v>
      </c>
      <c r="AG15" s="3">
        <v>1</v>
      </c>
      <c r="AH15" s="3">
        <v>0.40835845800029302</v>
      </c>
      <c r="AI15" s="3" t="s">
        <v>48</v>
      </c>
      <c r="AJ15" s="2"/>
      <c r="AK15" s="2"/>
      <c r="AL15" s="2"/>
      <c r="AM15" s="2"/>
      <c r="AN15" s="3" t="s">
        <v>49</v>
      </c>
      <c r="AO15" s="3">
        <v>2</v>
      </c>
      <c r="AP15" s="3" t="s">
        <v>50</v>
      </c>
      <c r="AQ15" s="3" t="s">
        <v>51</v>
      </c>
      <c r="AR15" s="2"/>
      <c r="AS15" s="3" t="s">
        <v>52</v>
      </c>
      <c r="AT15" s="3">
        <v>121.512281589049</v>
      </c>
      <c r="AU15" s="3" t="s">
        <v>53</v>
      </c>
      <c r="AV15" s="2"/>
    </row>
    <row r="16" spans="1:48" x14ac:dyDescent="0.2">
      <c r="A16" s="1" t="s">
        <v>54</v>
      </c>
      <c r="B16" s="3" t="s">
        <v>60</v>
      </c>
      <c r="C16" s="3" t="s">
        <v>59</v>
      </c>
      <c r="D16" s="3" t="s">
        <v>61</v>
      </c>
      <c r="E16" s="3">
        <v>13</v>
      </c>
      <c r="F16" s="3">
        <v>1</v>
      </c>
      <c r="G16" s="3">
        <v>3</v>
      </c>
      <c r="H16" s="3" t="s">
        <v>61</v>
      </c>
      <c r="I16" s="3">
        <v>1</v>
      </c>
      <c r="J16" s="3">
        <v>0.41292650000104902</v>
      </c>
      <c r="K16" s="3" t="s">
        <v>48</v>
      </c>
      <c r="L16" s="3">
        <v>3</v>
      </c>
      <c r="M16" s="3">
        <v>1</v>
      </c>
      <c r="N16" s="3">
        <v>13</v>
      </c>
      <c r="O16" s="3">
        <v>3</v>
      </c>
      <c r="P16" s="3">
        <v>65.760476791001594</v>
      </c>
      <c r="Q16" s="2"/>
      <c r="R16" s="2"/>
      <c r="S16" s="2"/>
      <c r="T16" s="2"/>
      <c r="U16" s="2"/>
      <c r="V16" s="2"/>
      <c r="W16" s="2"/>
      <c r="X16" s="2"/>
      <c r="Y16" s="2"/>
      <c r="Z16" s="3">
        <v>65.752961416001199</v>
      </c>
      <c r="AA16" s="3">
        <v>65.760476791001594</v>
      </c>
      <c r="AB16" s="3">
        <v>66.243810833002499</v>
      </c>
      <c r="AC16" s="3">
        <v>66.243810833002499</v>
      </c>
      <c r="AD16" s="3">
        <v>66.243810833002499</v>
      </c>
      <c r="AE16" s="3">
        <v>66.661094415998406</v>
      </c>
      <c r="AF16" s="3" t="s">
        <v>61</v>
      </c>
      <c r="AG16" s="3">
        <v>1</v>
      </c>
      <c r="AH16" s="3">
        <v>0.41292650000104902</v>
      </c>
      <c r="AI16" s="3" t="s">
        <v>48</v>
      </c>
      <c r="AJ16" s="2"/>
      <c r="AK16" s="2"/>
      <c r="AL16" s="2"/>
      <c r="AM16" s="2"/>
      <c r="AN16" s="3" t="s">
        <v>49</v>
      </c>
      <c r="AO16" s="3">
        <v>2</v>
      </c>
      <c r="AP16" s="3" t="s">
        <v>50</v>
      </c>
      <c r="AQ16" s="3" t="s">
        <v>51</v>
      </c>
      <c r="AR16" s="2"/>
      <c r="AS16" s="3" t="s">
        <v>52</v>
      </c>
      <c r="AT16" s="3">
        <v>121.512281589049</v>
      </c>
      <c r="AU16" s="3" t="s">
        <v>53</v>
      </c>
      <c r="AV16" s="2"/>
    </row>
    <row r="17" spans="1:48" x14ac:dyDescent="0.2">
      <c r="A17" s="1" t="s">
        <v>54</v>
      </c>
      <c r="B17" s="3" t="s">
        <v>55</v>
      </c>
      <c r="C17" s="3" t="s">
        <v>56</v>
      </c>
      <c r="D17" s="3" t="s">
        <v>57</v>
      </c>
      <c r="E17" s="3">
        <v>14</v>
      </c>
      <c r="F17" s="3">
        <v>2</v>
      </c>
      <c r="G17" s="3">
        <v>3</v>
      </c>
      <c r="H17" s="3" t="s">
        <v>57</v>
      </c>
      <c r="I17" s="3">
        <v>1</v>
      </c>
      <c r="J17" s="3">
        <v>0.64357804199971702</v>
      </c>
      <c r="K17" s="3" t="s">
        <v>48</v>
      </c>
      <c r="L17" s="3">
        <v>3</v>
      </c>
      <c r="M17" s="3">
        <v>2</v>
      </c>
      <c r="N17" s="3">
        <v>14</v>
      </c>
      <c r="O17" s="3">
        <v>2</v>
      </c>
      <c r="P17" s="3">
        <v>66.668528957998205</v>
      </c>
      <c r="Q17" s="2"/>
      <c r="R17" s="2"/>
      <c r="S17" s="2"/>
      <c r="T17" s="2"/>
      <c r="U17" s="2"/>
      <c r="V17" s="2"/>
      <c r="W17" s="2"/>
      <c r="X17" s="2"/>
      <c r="Y17" s="2"/>
      <c r="Z17" s="3">
        <v>66.661231332997005</v>
      </c>
      <c r="AA17" s="3">
        <v>66.668528957998205</v>
      </c>
      <c r="AB17" s="3">
        <v>67.160128041003205</v>
      </c>
      <c r="AC17" s="3">
        <v>67.160128041003205</v>
      </c>
      <c r="AD17" s="3">
        <v>67.160128041003205</v>
      </c>
      <c r="AE17" s="3">
        <v>67.810561958001898</v>
      </c>
      <c r="AF17" s="3" t="s">
        <v>57</v>
      </c>
      <c r="AG17" s="3">
        <v>1</v>
      </c>
      <c r="AH17" s="3">
        <v>0.64357804199971702</v>
      </c>
      <c r="AI17" s="3" t="s">
        <v>48</v>
      </c>
      <c r="AJ17" s="2"/>
      <c r="AK17" s="2"/>
      <c r="AL17" s="2"/>
      <c r="AM17" s="2"/>
      <c r="AN17" s="3" t="s">
        <v>49</v>
      </c>
      <c r="AO17" s="3">
        <v>2</v>
      </c>
      <c r="AP17" s="3" t="s">
        <v>50</v>
      </c>
      <c r="AQ17" s="3" t="s">
        <v>51</v>
      </c>
      <c r="AR17" s="2"/>
      <c r="AS17" s="3" t="s">
        <v>52</v>
      </c>
      <c r="AT17" s="3">
        <v>121.512281589049</v>
      </c>
      <c r="AU17" s="3" t="s">
        <v>53</v>
      </c>
      <c r="AV17" s="2"/>
    </row>
    <row r="18" spans="1:48" x14ac:dyDescent="0.2">
      <c r="A18" s="1" t="s">
        <v>58</v>
      </c>
      <c r="B18" s="3" t="s">
        <v>60</v>
      </c>
      <c r="C18" s="3" t="s">
        <v>56</v>
      </c>
      <c r="D18" s="3" t="s">
        <v>61</v>
      </c>
      <c r="E18" s="3">
        <v>15</v>
      </c>
      <c r="F18" s="3">
        <v>3</v>
      </c>
      <c r="G18" s="3">
        <v>3</v>
      </c>
      <c r="H18" s="3" t="s">
        <v>61</v>
      </c>
      <c r="I18" s="3">
        <v>1</v>
      </c>
      <c r="J18" s="3">
        <v>0.48706525000306999</v>
      </c>
      <c r="K18" s="3" t="s">
        <v>48</v>
      </c>
      <c r="L18" s="3">
        <v>3</v>
      </c>
      <c r="M18" s="3">
        <v>3</v>
      </c>
      <c r="N18" s="3">
        <v>15</v>
      </c>
      <c r="O18" s="3">
        <v>1</v>
      </c>
      <c r="P18" s="3">
        <v>67.818286374997101</v>
      </c>
      <c r="Q18" s="2"/>
      <c r="R18" s="2"/>
      <c r="S18" s="2"/>
      <c r="T18" s="2"/>
      <c r="U18" s="2"/>
      <c r="V18" s="2"/>
      <c r="W18" s="2"/>
      <c r="X18" s="2"/>
      <c r="Y18" s="2"/>
      <c r="Z18" s="3">
        <v>67.811228083002803</v>
      </c>
      <c r="AA18" s="3">
        <v>67.818286374997101</v>
      </c>
      <c r="AB18" s="3">
        <v>68.3016144580033</v>
      </c>
      <c r="AC18" s="3">
        <v>68.3016144580033</v>
      </c>
      <c r="AD18" s="3">
        <v>68.3016144580033</v>
      </c>
      <c r="AE18" s="3">
        <v>68.7937832079988</v>
      </c>
      <c r="AF18" s="3" t="s">
        <v>61</v>
      </c>
      <c r="AG18" s="3">
        <v>1</v>
      </c>
      <c r="AH18" s="3">
        <v>0.48706525000306999</v>
      </c>
      <c r="AI18" s="3" t="s">
        <v>48</v>
      </c>
      <c r="AJ18" s="2"/>
      <c r="AK18" s="2"/>
      <c r="AL18" s="2"/>
      <c r="AM18" s="2"/>
      <c r="AN18" s="3" t="s">
        <v>49</v>
      </c>
      <c r="AO18" s="3">
        <v>2</v>
      </c>
      <c r="AP18" s="3" t="s">
        <v>50</v>
      </c>
      <c r="AQ18" s="3" t="s">
        <v>51</v>
      </c>
      <c r="AR18" s="2"/>
      <c r="AS18" s="3" t="s">
        <v>52</v>
      </c>
      <c r="AT18" s="3">
        <v>121.512281589049</v>
      </c>
      <c r="AU18" s="3" t="s">
        <v>53</v>
      </c>
      <c r="AV18" s="2"/>
    </row>
    <row r="19" spans="1:48" x14ac:dyDescent="0.2">
      <c r="A19" s="1" t="s">
        <v>54</v>
      </c>
      <c r="B19" s="3" t="s">
        <v>60</v>
      </c>
      <c r="C19" s="3" t="s">
        <v>59</v>
      </c>
      <c r="D19" s="3" t="s">
        <v>61</v>
      </c>
      <c r="E19" s="3">
        <v>16</v>
      </c>
      <c r="F19" s="3">
        <v>0</v>
      </c>
      <c r="G19" s="3">
        <v>4</v>
      </c>
      <c r="H19" s="3" t="s">
        <v>61</v>
      </c>
      <c r="I19" s="3">
        <v>1</v>
      </c>
      <c r="J19" s="3">
        <v>0.52666958299960198</v>
      </c>
      <c r="K19" s="3" t="s">
        <v>48</v>
      </c>
      <c r="L19" s="3">
        <v>4</v>
      </c>
      <c r="M19" s="3">
        <v>0</v>
      </c>
      <c r="N19" s="3">
        <v>16</v>
      </c>
      <c r="O19" s="3">
        <v>3</v>
      </c>
      <c r="P19" s="3">
        <v>68.801603749998307</v>
      </c>
      <c r="Q19" s="2"/>
      <c r="R19" s="2"/>
      <c r="S19" s="2"/>
      <c r="T19" s="2"/>
      <c r="U19" s="2"/>
      <c r="V19" s="2"/>
      <c r="W19" s="2"/>
      <c r="X19" s="2"/>
      <c r="Y19" s="2"/>
      <c r="Z19" s="3">
        <v>68.794389540999006</v>
      </c>
      <c r="AA19" s="3">
        <v>68.801603749998307</v>
      </c>
      <c r="AB19" s="3">
        <v>69.284942790996894</v>
      </c>
      <c r="AC19" s="3">
        <v>69.284942790996894</v>
      </c>
      <c r="AD19" s="3">
        <v>69.284942790996894</v>
      </c>
      <c r="AE19" s="3">
        <v>69.818327624998403</v>
      </c>
      <c r="AF19" s="3" t="s">
        <v>61</v>
      </c>
      <c r="AG19" s="3">
        <v>1</v>
      </c>
      <c r="AH19" s="3">
        <v>0.52666958299960198</v>
      </c>
      <c r="AI19" s="3" t="s">
        <v>48</v>
      </c>
      <c r="AJ19" s="2"/>
      <c r="AK19" s="2"/>
      <c r="AL19" s="2"/>
      <c r="AM19" s="2"/>
      <c r="AN19" s="3" t="s">
        <v>49</v>
      </c>
      <c r="AO19" s="3">
        <v>2</v>
      </c>
      <c r="AP19" s="3" t="s">
        <v>50</v>
      </c>
      <c r="AQ19" s="3" t="s">
        <v>51</v>
      </c>
      <c r="AR19" s="2"/>
      <c r="AS19" s="3" t="s">
        <v>52</v>
      </c>
      <c r="AT19" s="3">
        <v>121.512281589049</v>
      </c>
      <c r="AU19" s="3" t="s">
        <v>53</v>
      </c>
      <c r="AV19" s="2"/>
    </row>
    <row r="20" spans="1:48" x14ac:dyDescent="0.2">
      <c r="A20" s="1" t="s">
        <v>58</v>
      </c>
      <c r="B20" s="3" t="s">
        <v>60</v>
      </c>
      <c r="C20" s="3" t="s">
        <v>56</v>
      </c>
      <c r="D20" s="3" t="s">
        <v>61</v>
      </c>
      <c r="E20" s="3">
        <v>17</v>
      </c>
      <c r="F20" s="3">
        <v>1</v>
      </c>
      <c r="G20" s="3">
        <v>4</v>
      </c>
      <c r="H20" s="3" t="s">
        <v>61</v>
      </c>
      <c r="I20" s="3">
        <v>1</v>
      </c>
      <c r="J20" s="3">
        <v>0.48234220800077299</v>
      </c>
      <c r="K20" s="3" t="s">
        <v>48</v>
      </c>
      <c r="L20" s="3">
        <v>4</v>
      </c>
      <c r="M20" s="3">
        <v>1</v>
      </c>
      <c r="N20" s="3">
        <v>17</v>
      </c>
      <c r="O20" s="3">
        <v>1</v>
      </c>
      <c r="P20" s="3">
        <v>69.827134874998606</v>
      </c>
      <c r="Q20" s="2"/>
      <c r="R20" s="2"/>
      <c r="S20" s="2"/>
      <c r="T20" s="2"/>
      <c r="U20" s="2"/>
      <c r="V20" s="2"/>
      <c r="W20" s="2"/>
      <c r="X20" s="2"/>
      <c r="Y20" s="2"/>
      <c r="Z20" s="3">
        <v>69.818962999997893</v>
      </c>
      <c r="AA20" s="3">
        <v>69.827134874998606</v>
      </c>
      <c r="AB20" s="3">
        <v>70.310457416002507</v>
      </c>
      <c r="AC20" s="3">
        <v>70.310457416002507</v>
      </c>
      <c r="AD20" s="3">
        <v>70.310457416002507</v>
      </c>
      <c r="AE20" s="3">
        <v>70.793590540997698</v>
      </c>
      <c r="AF20" s="3" t="s">
        <v>61</v>
      </c>
      <c r="AG20" s="3">
        <v>1</v>
      </c>
      <c r="AH20" s="3">
        <v>0.48234220800077299</v>
      </c>
      <c r="AI20" s="3" t="s">
        <v>48</v>
      </c>
      <c r="AJ20" s="2"/>
      <c r="AK20" s="2"/>
      <c r="AL20" s="2"/>
      <c r="AM20" s="2"/>
      <c r="AN20" s="3" t="s">
        <v>49</v>
      </c>
      <c r="AO20" s="3">
        <v>2</v>
      </c>
      <c r="AP20" s="3" t="s">
        <v>50</v>
      </c>
      <c r="AQ20" s="3" t="s">
        <v>51</v>
      </c>
      <c r="AR20" s="2"/>
      <c r="AS20" s="3" t="s">
        <v>52</v>
      </c>
      <c r="AT20" s="3">
        <v>121.512281589049</v>
      </c>
      <c r="AU20" s="3" t="s">
        <v>53</v>
      </c>
      <c r="AV20" s="2"/>
    </row>
    <row r="21" spans="1:48" x14ac:dyDescent="0.2">
      <c r="A21" s="1" t="s">
        <v>54</v>
      </c>
      <c r="B21" s="3" t="s">
        <v>55</v>
      </c>
      <c r="C21" s="3" t="s">
        <v>56</v>
      </c>
      <c r="D21" s="3" t="s">
        <v>57</v>
      </c>
      <c r="E21" s="3">
        <v>18</v>
      </c>
      <c r="F21" s="3">
        <v>2</v>
      </c>
      <c r="G21" s="3">
        <v>4</v>
      </c>
      <c r="H21" s="3" t="s">
        <v>57</v>
      </c>
      <c r="I21" s="3">
        <v>1</v>
      </c>
      <c r="J21" s="3">
        <v>0.38278804199944699</v>
      </c>
      <c r="K21" s="3" t="s">
        <v>48</v>
      </c>
      <c r="L21" s="3">
        <v>4</v>
      </c>
      <c r="M21" s="3">
        <v>2</v>
      </c>
      <c r="N21" s="3">
        <v>18</v>
      </c>
      <c r="O21" s="3">
        <v>2</v>
      </c>
      <c r="P21" s="3">
        <v>70.802063415998404</v>
      </c>
      <c r="Q21" s="2"/>
      <c r="R21" s="2"/>
      <c r="S21" s="2"/>
      <c r="T21" s="2"/>
      <c r="U21" s="2"/>
      <c r="V21" s="2"/>
      <c r="W21" s="2"/>
      <c r="X21" s="2"/>
      <c r="Y21" s="2"/>
      <c r="Z21" s="3">
        <v>70.7941543330016</v>
      </c>
      <c r="AA21" s="3">
        <v>70.802063415998404</v>
      </c>
      <c r="AB21" s="3">
        <v>71.284996207999896</v>
      </c>
      <c r="AC21" s="3">
        <v>71.284996207999896</v>
      </c>
      <c r="AD21" s="3">
        <v>71.284996207999896</v>
      </c>
      <c r="AE21" s="3">
        <v>71.669040166001693</v>
      </c>
      <c r="AF21" s="3" t="s">
        <v>57</v>
      </c>
      <c r="AG21" s="3">
        <v>1</v>
      </c>
      <c r="AH21" s="3">
        <v>0.38278804199944699</v>
      </c>
      <c r="AI21" s="3" t="s">
        <v>48</v>
      </c>
      <c r="AJ21" s="2"/>
      <c r="AK21" s="2"/>
      <c r="AL21" s="2"/>
      <c r="AM21" s="2"/>
      <c r="AN21" s="3" t="s">
        <v>49</v>
      </c>
      <c r="AO21" s="3">
        <v>2</v>
      </c>
      <c r="AP21" s="3" t="s">
        <v>50</v>
      </c>
      <c r="AQ21" s="3" t="s">
        <v>51</v>
      </c>
      <c r="AR21" s="2"/>
      <c r="AS21" s="3" t="s">
        <v>52</v>
      </c>
      <c r="AT21" s="3">
        <v>121.512281589049</v>
      </c>
      <c r="AU21" s="3" t="s">
        <v>53</v>
      </c>
      <c r="AV21" s="2"/>
    </row>
    <row r="22" spans="1:48" x14ac:dyDescent="0.2">
      <c r="A22" s="1" t="s">
        <v>58</v>
      </c>
      <c r="B22" s="3" t="s">
        <v>55</v>
      </c>
      <c r="C22" s="3" t="s">
        <v>59</v>
      </c>
      <c r="D22" s="3" t="s">
        <v>57</v>
      </c>
      <c r="E22" s="3">
        <v>19</v>
      </c>
      <c r="F22" s="3">
        <v>3</v>
      </c>
      <c r="G22" s="3">
        <v>4</v>
      </c>
      <c r="H22" s="3" t="s">
        <v>57</v>
      </c>
      <c r="I22" s="3">
        <v>1</v>
      </c>
      <c r="J22" s="3">
        <v>0.39868845800083402</v>
      </c>
      <c r="K22" s="3" t="s">
        <v>48</v>
      </c>
      <c r="L22" s="3">
        <v>4</v>
      </c>
      <c r="M22" s="3">
        <v>3</v>
      </c>
      <c r="N22" s="3">
        <v>19</v>
      </c>
      <c r="O22" s="3">
        <v>0</v>
      </c>
      <c r="P22" s="3">
        <v>71.676468666002606</v>
      </c>
      <c r="Q22" s="2"/>
      <c r="R22" s="2"/>
      <c r="S22" s="2"/>
      <c r="T22" s="2"/>
      <c r="U22" s="2"/>
      <c r="V22" s="2"/>
      <c r="W22" s="2"/>
      <c r="X22" s="2"/>
      <c r="Y22" s="2"/>
      <c r="Z22" s="3">
        <v>71.669599207998502</v>
      </c>
      <c r="AA22" s="3">
        <v>71.676468666002606</v>
      </c>
      <c r="AB22" s="3">
        <v>72.159898874997495</v>
      </c>
      <c r="AC22" s="3">
        <v>72.159898874997495</v>
      </c>
      <c r="AD22" s="3">
        <v>72.159898874997495</v>
      </c>
      <c r="AE22" s="3">
        <v>72.560558958000897</v>
      </c>
      <c r="AF22" s="3" t="s">
        <v>57</v>
      </c>
      <c r="AG22" s="3">
        <v>1</v>
      </c>
      <c r="AH22" s="3">
        <v>0.39868845800083402</v>
      </c>
      <c r="AI22" s="3" t="s">
        <v>48</v>
      </c>
      <c r="AJ22" s="2"/>
      <c r="AK22" s="2"/>
      <c r="AL22" s="2"/>
      <c r="AM22" s="2"/>
      <c r="AN22" s="3" t="s">
        <v>49</v>
      </c>
      <c r="AO22" s="3">
        <v>2</v>
      </c>
      <c r="AP22" s="3" t="s">
        <v>50</v>
      </c>
      <c r="AQ22" s="3" t="s">
        <v>51</v>
      </c>
      <c r="AR22" s="2"/>
      <c r="AS22" s="3" t="s">
        <v>52</v>
      </c>
      <c r="AT22" s="3">
        <v>121.512281589049</v>
      </c>
      <c r="AU22" s="3" t="s">
        <v>53</v>
      </c>
      <c r="AV22" s="2"/>
    </row>
    <row r="23" spans="1:48" x14ac:dyDescent="0.2">
      <c r="A23" s="1" t="s">
        <v>54</v>
      </c>
      <c r="B23" s="3" t="s">
        <v>55</v>
      </c>
      <c r="C23" s="3" t="s">
        <v>56</v>
      </c>
      <c r="D23" s="3" t="s">
        <v>57</v>
      </c>
      <c r="E23" s="3">
        <v>20</v>
      </c>
      <c r="F23" s="3">
        <v>0</v>
      </c>
      <c r="G23" s="3">
        <v>5</v>
      </c>
      <c r="H23" s="3" t="s">
        <v>57</v>
      </c>
      <c r="I23" s="3">
        <v>1</v>
      </c>
      <c r="J23" s="3">
        <v>0.56478466599946797</v>
      </c>
      <c r="K23" s="3" t="s">
        <v>48</v>
      </c>
      <c r="L23" s="3">
        <v>5</v>
      </c>
      <c r="M23" s="3">
        <v>0</v>
      </c>
      <c r="N23" s="3">
        <v>20</v>
      </c>
      <c r="O23" s="3">
        <v>2</v>
      </c>
      <c r="P23" s="3">
        <v>72.568337040996994</v>
      </c>
      <c r="Q23" s="2"/>
      <c r="R23" s="2"/>
      <c r="S23" s="2"/>
      <c r="T23" s="2"/>
      <c r="U23" s="2"/>
      <c r="V23" s="2"/>
      <c r="W23" s="2"/>
      <c r="X23" s="2"/>
      <c r="Y23" s="2"/>
      <c r="Z23" s="3">
        <v>72.561160457997204</v>
      </c>
      <c r="AA23" s="3">
        <v>72.568337040996994</v>
      </c>
      <c r="AB23" s="3">
        <v>73.051691125001497</v>
      </c>
      <c r="AC23" s="3">
        <v>73.051691125001497</v>
      </c>
      <c r="AD23" s="3">
        <v>73.051691125001497</v>
      </c>
      <c r="AE23" s="3">
        <v>73.618928290998198</v>
      </c>
      <c r="AF23" s="3" t="s">
        <v>57</v>
      </c>
      <c r="AG23" s="3">
        <v>1</v>
      </c>
      <c r="AH23" s="3">
        <v>0.56478466599946797</v>
      </c>
      <c r="AI23" s="3" t="s">
        <v>48</v>
      </c>
      <c r="AJ23" s="2"/>
      <c r="AK23" s="2"/>
      <c r="AL23" s="2"/>
      <c r="AM23" s="2"/>
      <c r="AN23" s="3" t="s">
        <v>49</v>
      </c>
      <c r="AO23" s="3">
        <v>2</v>
      </c>
      <c r="AP23" s="3" t="s">
        <v>50</v>
      </c>
      <c r="AQ23" s="3" t="s">
        <v>51</v>
      </c>
      <c r="AR23" s="2"/>
      <c r="AS23" s="3" t="s">
        <v>52</v>
      </c>
      <c r="AT23" s="3">
        <v>121.512281589049</v>
      </c>
      <c r="AU23" s="3" t="s">
        <v>53</v>
      </c>
      <c r="AV23" s="2"/>
    </row>
    <row r="24" spans="1:48" x14ac:dyDescent="0.2">
      <c r="A24" s="1" t="s">
        <v>54</v>
      </c>
      <c r="B24" s="3" t="s">
        <v>60</v>
      </c>
      <c r="C24" s="3" t="s">
        <v>59</v>
      </c>
      <c r="D24" s="3" t="s">
        <v>61</v>
      </c>
      <c r="E24" s="3">
        <v>21</v>
      </c>
      <c r="F24" s="3">
        <v>1</v>
      </c>
      <c r="G24" s="3">
        <v>5</v>
      </c>
      <c r="H24" s="3" t="s">
        <v>61</v>
      </c>
      <c r="I24" s="3">
        <v>1</v>
      </c>
      <c r="J24" s="3">
        <v>0.75787291699816695</v>
      </c>
      <c r="K24" s="3" t="s">
        <v>48</v>
      </c>
      <c r="L24" s="3">
        <v>5</v>
      </c>
      <c r="M24" s="3">
        <v>1</v>
      </c>
      <c r="N24" s="3">
        <v>21</v>
      </c>
      <c r="O24" s="3">
        <v>3</v>
      </c>
      <c r="P24" s="3">
        <v>73.626525332998398</v>
      </c>
      <c r="Q24" s="2"/>
      <c r="R24" s="2"/>
      <c r="S24" s="2"/>
      <c r="T24" s="2"/>
      <c r="U24" s="2"/>
      <c r="V24" s="2"/>
      <c r="W24" s="2"/>
      <c r="X24" s="2"/>
      <c r="Y24" s="2"/>
      <c r="Z24" s="3">
        <v>73.619059916003593</v>
      </c>
      <c r="AA24" s="3">
        <v>73.626525332998398</v>
      </c>
      <c r="AB24" s="3">
        <v>74.109763082997205</v>
      </c>
      <c r="AC24" s="3">
        <v>74.109763082997205</v>
      </c>
      <c r="AD24" s="3">
        <v>74.109763082997205</v>
      </c>
      <c r="AE24" s="3">
        <v>74.868852749997998</v>
      </c>
      <c r="AF24" s="3" t="s">
        <v>61</v>
      </c>
      <c r="AG24" s="3">
        <v>1</v>
      </c>
      <c r="AH24" s="3">
        <v>0.75787291699816695</v>
      </c>
      <c r="AI24" s="3" t="s">
        <v>48</v>
      </c>
      <c r="AJ24" s="2"/>
      <c r="AK24" s="2"/>
      <c r="AL24" s="2"/>
      <c r="AM24" s="2"/>
      <c r="AN24" s="3" t="s">
        <v>49</v>
      </c>
      <c r="AO24" s="3">
        <v>2</v>
      </c>
      <c r="AP24" s="3" t="s">
        <v>50</v>
      </c>
      <c r="AQ24" s="3" t="s">
        <v>51</v>
      </c>
      <c r="AR24" s="2"/>
      <c r="AS24" s="3" t="s">
        <v>52</v>
      </c>
      <c r="AT24" s="3">
        <v>121.512281589049</v>
      </c>
      <c r="AU24" s="3" t="s">
        <v>53</v>
      </c>
      <c r="AV24" s="2"/>
    </row>
    <row r="25" spans="1:48" x14ac:dyDescent="0.2">
      <c r="A25" s="1" t="s">
        <v>58</v>
      </c>
      <c r="B25" s="3" t="s">
        <v>55</v>
      </c>
      <c r="C25" s="3" t="s">
        <v>59</v>
      </c>
      <c r="D25" s="3" t="s">
        <v>57</v>
      </c>
      <c r="E25" s="3">
        <v>22</v>
      </c>
      <c r="F25" s="3">
        <v>2</v>
      </c>
      <c r="G25" s="3">
        <v>5</v>
      </c>
      <c r="H25" s="3" t="s">
        <v>57</v>
      </c>
      <c r="I25" s="3">
        <v>1</v>
      </c>
      <c r="J25" s="3">
        <v>0.57406212500063702</v>
      </c>
      <c r="K25" s="3" t="s">
        <v>48</v>
      </c>
      <c r="L25" s="3">
        <v>5</v>
      </c>
      <c r="M25" s="3">
        <v>2</v>
      </c>
      <c r="N25" s="3">
        <v>22</v>
      </c>
      <c r="O25" s="3">
        <v>0</v>
      </c>
      <c r="P25" s="3">
        <v>74.876736165999304</v>
      </c>
      <c r="Q25" s="2"/>
      <c r="R25" s="2"/>
      <c r="S25" s="2"/>
      <c r="T25" s="2"/>
      <c r="U25" s="2"/>
      <c r="V25" s="2"/>
      <c r="W25" s="2"/>
      <c r="X25" s="2"/>
      <c r="Y25" s="2"/>
      <c r="Z25" s="3">
        <v>74.869550041003095</v>
      </c>
      <c r="AA25" s="3">
        <v>74.876736165999304</v>
      </c>
      <c r="AB25" s="3">
        <v>75.360352791001802</v>
      </c>
      <c r="AC25" s="3">
        <v>75.360352791001802</v>
      </c>
      <c r="AD25" s="3">
        <v>75.360352791001802</v>
      </c>
      <c r="AE25" s="3">
        <v>75.935538500001698</v>
      </c>
      <c r="AF25" s="3" t="s">
        <v>57</v>
      </c>
      <c r="AG25" s="3">
        <v>1</v>
      </c>
      <c r="AH25" s="3">
        <v>0.57406212500063702</v>
      </c>
      <c r="AI25" s="3" t="s">
        <v>48</v>
      </c>
      <c r="AJ25" s="2"/>
      <c r="AK25" s="2"/>
      <c r="AL25" s="2"/>
      <c r="AM25" s="2"/>
      <c r="AN25" s="3" t="s">
        <v>49</v>
      </c>
      <c r="AO25" s="3">
        <v>2</v>
      </c>
      <c r="AP25" s="3" t="s">
        <v>50</v>
      </c>
      <c r="AQ25" s="3" t="s">
        <v>51</v>
      </c>
      <c r="AR25" s="2"/>
      <c r="AS25" s="3" t="s">
        <v>52</v>
      </c>
      <c r="AT25" s="3">
        <v>121.512281589049</v>
      </c>
      <c r="AU25" s="3" t="s">
        <v>53</v>
      </c>
      <c r="AV25" s="2"/>
    </row>
    <row r="26" spans="1:48" x14ac:dyDescent="0.2">
      <c r="A26" s="1" t="s">
        <v>58</v>
      </c>
      <c r="B26" s="3" t="s">
        <v>60</v>
      </c>
      <c r="C26" s="3" t="s">
        <v>56</v>
      </c>
      <c r="D26" s="3" t="s">
        <v>61</v>
      </c>
      <c r="E26" s="3">
        <v>23</v>
      </c>
      <c r="F26" s="3">
        <v>3</v>
      </c>
      <c r="G26" s="3">
        <v>5</v>
      </c>
      <c r="H26" s="3" t="s">
        <v>61</v>
      </c>
      <c r="I26" s="3">
        <v>1</v>
      </c>
      <c r="J26" s="3">
        <v>0.696012333006365</v>
      </c>
      <c r="K26" s="3" t="s">
        <v>48</v>
      </c>
      <c r="L26" s="3">
        <v>5</v>
      </c>
      <c r="M26" s="3">
        <v>3</v>
      </c>
      <c r="N26" s="3">
        <v>23</v>
      </c>
      <c r="O26" s="3">
        <v>1</v>
      </c>
      <c r="P26" s="3">
        <v>75.943605041000396</v>
      </c>
      <c r="Q26" s="2"/>
      <c r="R26" s="2"/>
      <c r="S26" s="2"/>
      <c r="T26" s="2"/>
      <c r="U26" s="2"/>
      <c r="V26" s="2"/>
      <c r="W26" s="2"/>
      <c r="X26" s="2"/>
      <c r="Y26" s="2"/>
      <c r="Z26" s="3">
        <v>75.935690999998798</v>
      </c>
      <c r="AA26" s="3">
        <v>75.943605041000396</v>
      </c>
      <c r="AB26" s="3">
        <v>76.435332000000898</v>
      </c>
      <c r="AC26" s="3">
        <v>76.435332000000898</v>
      </c>
      <c r="AD26" s="3">
        <v>76.435332000000898</v>
      </c>
      <c r="AE26" s="3">
        <v>77.135311457997901</v>
      </c>
      <c r="AF26" s="3" t="s">
        <v>61</v>
      </c>
      <c r="AG26" s="3">
        <v>1</v>
      </c>
      <c r="AH26" s="3">
        <v>0.696012333006365</v>
      </c>
      <c r="AI26" s="3" t="s">
        <v>48</v>
      </c>
      <c r="AJ26" s="2"/>
      <c r="AK26" s="2"/>
      <c r="AL26" s="2"/>
      <c r="AM26" s="2"/>
      <c r="AN26" s="3" t="s">
        <v>49</v>
      </c>
      <c r="AO26" s="3">
        <v>2</v>
      </c>
      <c r="AP26" s="3" t="s">
        <v>50</v>
      </c>
      <c r="AQ26" s="3" t="s">
        <v>51</v>
      </c>
      <c r="AR26" s="2"/>
      <c r="AS26" s="3" t="s">
        <v>52</v>
      </c>
      <c r="AT26" s="3">
        <v>121.512281589049</v>
      </c>
      <c r="AU26" s="3" t="s">
        <v>53</v>
      </c>
      <c r="AV26" s="2"/>
    </row>
    <row r="27" spans="1:48" x14ac:dyDescent="0.2">
      <c r="A27" s="1" t="s">
        <v>54</v>
      </c>
      <c r="B27" s="3" t="s">
        <v>55</v>
      </c>
      <c r="C27" s="3" t="s">
        <v>56</v>
      </c>
      <c r="D27" s="3" t="s">
        <v>57</v>
      </c>
      <c r="E27" s="3">
        <v>24</v>
      </c>
      <c r="F27" s="3">
        <v>0</v>
      </c>
      <c r="G27" s="3">
        <v>6</v>
      </c>
      <c r="H27" s="3" t="s">
        <v>57</v>
      </c>
      <c r="I27" s="3">
        <v>1</v>
      </c>
      <c r="J27" s="3">
        <v>0.75015316699864298</v>
      </c>
      <c r="K27" s="3" t="s">
        <v>48</v>
      </c>
      <c r="L27" s="3">
        <v>6</v>
      </c>
      <c r="M27" s="3">
        <v>0</v>
      </c>
      <c r="N27" s="3">
        <v>24</v>
      </c>
      <c r="O27" s="3">
        <v>2</v>
      </c>
      <c r="P27" s="3">
        <v>77.143189333000905</v>
      </c>
      <c r="Q27" s="2"/>
      <c r="R27" s="2"/>
      <c r="S27" s="2"/>
      <c r="T27" s="2"/>
      <c r="U27" s="2"/>
      <c r="V27" s="2"/>
      <c r="W27" s="2"/>
      <c r="X27" s="2"/>
      <c r="Y27" s="2"/>
      <c r="Z27" s="3">
        <v>77.136052791000097</v>
      </c>
      <c r="AA27" s="3">
        <v>77.143189333000905</v>
      </c>
      <c r="AB27" s="3">
        <v>77.626231041002001</v>
      </c>
      <c r="AC27" s="3">
        <v>77.626231041002001</v>
      </c>
      <c r="AD27" s="3">
        <v>77.626231041002001</v>
      </c>
      <c r="AE27" s="3">
        <v>78.377089082998296</v>
      </c>
      <c r="AF27" s="3" t="s">
        <v>57</v>
      </c>
      <c r="AG27" s="3">
        <v>1</v>
      </c>
      <c r="AH27" s="3">
        <v>0.75015316699864298</v>
      </c>
      <c r="AI27" s="3" t="s">
        <v>48</v>
      </c>
      <c r="AJ27" s="2"/>
      <c r="AK27" s="2"/>
      <c r="AL27" s="2"/>
      <c r="AM27" s="2"/>
      <c r="AN27" s="3" t="s">
        <v>49</v>
      </c>
      <c r="AO27" s="3">
        <v>2</v>
      </c>
      <c r="AP27" s="3" t="s">
        <v>50</v>
      </c>
      <c r="AQ27" s="3" t="s">
        <v>51</v>
      </c>
      <c r="AR27" s="2"/>
      <c r="AS27" s="3" t="s">
        <v>52</v>
      </c>
      <c r="AT27" s="3">
        <v>121.512281589049</v>
      </c>
      <c r="AU27" s="3" t="s">
        <v>53</v>
      </c>
      <c r="AV27" s="2"/>
    </row>
    <row r="28" spans="1:48" x14ac:dyDescent="0.2">
      <c r="A28" s="1" t="s">
        <v>54</v>
      </c>
      <c r="B28" s="3" t="s">
        <v>60</v>
      </c>
      <c r="C28" s="3" t="s">
        <v>59</v>
      </c>
      <c r="D28" s="3" t="s">
        <v>61</v>
      </c>
      <c r="E28" s="3">
        <v>25</v>
      </c>
      <c r="F28" s="3">
        <v>1</v>
      </c>
      <c r="G28" s="3">
        <v>6</v>
      </c>
      <c r="H28" s="3" t="s">
        <v>61</v>
      </c>
      <c r="I28" s="3">
        <v>1</v>
      </c>
      <c r="J28" s="3">
        <v>0.88363429099990798</v>
      </c>
      <c r="K28" s="3" t="s">
        <v>48</v>
      </c>
      <c r="L28" s="3">
        <v>6</v>
      </c>
      <c r="M28" s="3">
        <v>1</v>
      </c>
      <c r="N28" s="3">
        <v>25</v>
      </c>
      <c r="O28" s="3">
        <v>3</v>
      </c>
      <c r="P28" s="3">
        <v>78.3852584580018</v>
      </c>
      <c r="Q28" s="2"/>
      <c r="R28" s="2"/>
      <c r="S28" s="2"/>
      <c r="T28" s="2"/>
      <c r="U28" s="2"/>
      <c r="V28" s="2"/>
      <c r="W28" s="2"/>
      <c r="X28" s="2"/>
      <c r="Y28" s="2"/>
      <c r="Z28" s="3">
        <v>78.377230332997001</v>
      </c>
      <c r="AA28" s="3">
        <v>78.3852584580018</v>
      </c>
      <c r="AB28" s="3">
        <v>78.868600499998095</v>
      </c>
      <c r="AC28" s="3">
        <v>78.868600499998095</v>
      </c>
      <c r="AD28" s="3">
        <v>78.868600499998095</v>
      </c>
      <c r="AE28" s="3">
        <v>79.760120083003102</v>
      </c>
      <c r="AF28" s="3" t="s">
        <v>61</v>
      </c>
      <c r="AG28" s="3">
        <v>1</v>
      </c>
      <c r="AH28" s="3">
        <v>0.88363429099990798</v>
      </c>
      <c r="AI28" s="3" t="s">
        <v>48</v>
      </c>
      <c r="AJ28" s="2"/>
      <c r="AK28" s="2"/>
      <c r="AL28" s="2"/>
      <c r="AM28" s="2"/>
      <c r="AN28" s="3" t="s">
        <v>49</v>
      </c>
      <c r="AO28" s="3">
        <v>2</v>
      </c>
      <c r="AP28" s="3" t="s">
        <v>50</v>
      </c>
      <c r="AQ28" s="3" t="s">
        <v>51</v>
      </c>
      <c r="AR28" s="2"/>
      <c r="AS28" s="3" t="s">
        <v>52</v>
      </c>
      <c r="AT28" s="3">
        <v>121.512281589049</v>
      </c>
      <c r="AU28" s="3" t="s">
        <v>53</v>
      </c>
      <c r="AV28" s="2"/>
    </row>
    <row r="29" spans="1:48" x14ac:dyDescent="0.2">
      <c r="A29" s="1" t="s">
        <v>58</v>
      </c>
      <c r="B29" s="3" t="s">
        <v>60</v>
      </c>
      <c r="C29" s="3" t="s">
        <v>56</v>
      </c>
      <c r="D29" s="3" t="s">
        <v>61</v>
      </c>
      <c r="E29" s="3">
        <v>26</v>
      </c>
      <c r="F29" s="3">
        <v>2</v>
      </c>
      <c r="G29" s="3">
        <v>6</v>
      </c>
      <c r="H29" s="3" t="s">
        <v>61</v>
      </c>
      <c r="I29" s="3">
        <v>1</v>
      </c>
      <c r="J29" s="3">
        <v>0.74767683299432997</v>
      </c>
      <c r="K29" s="3" t="s">
        <v>48</v>
      </c>
      <c r="L29" s="3">
        <v>6</v>
      </c>
      <c r="M29" s="3">
        <v>2</v>
      </c>
      <c r="N29" s="3">
        <v>26</v>
      </c>
      <c r="O29" s="3">
        <v>1</v>
      </c>
      <c r="P29" s="3">
        <v>79.768186499997697</v>
      </c>
      <c r="Q29" s="2"/>
      <c r="R29" s="2"/>
      <c r="S29" s="2"/>
      <c r="T29" s="2"/>
      <c r="U29" s="2"/>
      <c r="V29" s="2"/>
      <c r="W29" s="2"/>
      <c r="X29" s="2"/>
      <c r="Y29" s="2"/>
      <c r="Z29" s="3">
        <v>79.760775041002503</v>
      </c>
      <c r="AA29" s="3">
        <v>79.768186499997697</v>
      </c>
      <c r="AB29" s="3">
        <v>80.251526874999399</v>
      </c>
      <c r="AC29" s="3">
        <v>80.251526874999399</v>
      </c>
      <c r="AD29" s="3">
        <v>80.251526874999399</v>
      </c>
      <c r="AE29" s="3">
        <v>81.002035958001201</v>
      </c>
      <c r="AF29" s="3" t="s">
        <v>61</v>
      </c>
      <c r="AG29" s="3">
        <v>1</v>
      </c>
      <c r="AH29" s="3">
        <v>0.74767683299432997</v>
      </c>
      <c r="AI29" s="3" t="s">
        <v>48</v>
      </c>
      <c r="AJ29" s="2"/>
      <c r="AK29" s="2"/>
      <c r="AL29" s="2"/>
      <c r="AM29" s="2"/>
      <c r="AN29" s="3" t="s">
        <v>49</v>
      </c>
      <c r="AO29" s="3">
        <v>2</v>
      </c>
      <c r="AP29" s="3" t="s">
        <v>50</v>
      </c>
      <c r="AQ29" s="3" t="s">
        <v>51</v>
      </c>
      <c r="AR29" s="2"/>
      <c r="AS29" s="3" t="s">
        <v>52</v>
      </c>
      <c r="AT29" s="3">
        <v>121.512281589049</v>
      </c>
      <c r="AU29" s="3" t="s">
        <v>53</v>
      </c>
      <c r="AV29" s="2"/>
    </row>
    <row r="30" spans="1:48" x14ac:dyDescent="0.2">
      <c r="A30" s="1" t="s">
        <v>58</v>
      </c>
      <c r="B30" s="3" t="s">
        <v>55</v>
      </c>
      <c r="C30" s="3" t="s">
        <v>59</v>
      </c>
      <c r="D30" s="3" t="s">
        <v>57</v>
      </c>
      <c r="E30" s="3">
        <v>27</v>
      </c>
      <c r="F30" s="3">
        <v>3</v>
      </c>
      <c r="G30" s="3">
        <v>6</v>
      </c>
      <c r="H30" s="3" t="s">
        <v>57</v>
      </c>
      <c r="I30" s="3">
        <v>1</v>
      </c>
      <c r="J30" s="3">
        <v>0.55865291599911904</v>
      </c>
      <c r="K30" s="3" t="s">
        <v>48</v>
      </c>
      <c r="L30" s="3">
        <v>6</v>
      </c>
      <c r="M30" s="3">
        <v>3</v>
      </c>
      <c r="N30" s="3">
        <v>27</v>
      </c>
      <c r="O30" s="3">
        <v>0</v>
      </c>
      <c r="P30" s="3">
        <v>81.009790582997098</v>
      </c>
      <c r="Q30" s="2"/>
      <c r="R30" s="2"/>
      <c r="S30" s="2"/>
      <c r="T30" s="2"/>
      <c r="U30" s="2"/>
      <c r="V30" s="2"/>
      <c r="W30" s="2"/>
      <c r="X30" s="2"/>
      <c r="Y30" s="2"/>
      <c r="Z30" s="3">
        <v>81.002176583002395</v>
      </c>
      <c r="AA30" s="3">
        <v>81.009790582997098</v>
      </c>
      <c r="AB30" s="3">
        <v>81.493497832998401</v>
      </c>
      <c r="AC30" s="3">
        <v>81.493497832998401</v>
      </c>
      <c r="AD30" s="3">
        <v>81.493497832998401</v>
      </c>
      <c r="AE30" s="3">
        <v>82.0603507909982</v>
      </c>
      <c r="AF30" s="3" t="s">
        <v>57</v>
      </c>
      <c r="AG30" s="3">
        <v>1</v>
      </c>
      <c r="AH30" s="3">
        <v>0.55865291599911904</v>
      </c>
      <c r="AI30" s="3" t="s">
        <v>48</v>
      </c>
      <c r="AJ30" s="2"/>
      <c r="AK30" s="2"/>
      <c r="AL30" s="2"/>
      <c r="AM30" s="2"/>
      <c r="AN30" s="3" t="s">
        <v>49</v>
      </c>
      <c r="AO30" s="3">
        <v>2</v>
      </c>
      <c r="AP30" s="3" t="s">
        <v>50</v>
      </c>
      <c r="AQ30" s="3" t="s">
        <v>51</v>
      </c>
      <c r="AR30" s="2"/>
      <c r="AS30" s="3" t="s">
        <v>52</v>
      </c>
      <c r="AT30" s="3">
        <v>121.512281589049</v>
      </c>
      <c r="AU30" s="3" t="s">
        <v>53</v>
      </c>
      <c r="AV30" s="2"/>
    </row>
    <row r="31" spans="1:48" x14ac:dyDescent="0.2">
      <c r="A31" s="1" t="s">
        <v>54</v>
      </c>
      <c r="B31" s="3" t="s">
        <v>55</v>
      </c>
      <c r="C31" s="3" t="s">
        <v>56</v>
      </c>
      <c r="D31" s="3" t="s">
        <v>57</v>
      </c>
      <c r="E31" s="3">
        <v>28</v>
      </c>
      <c r="F31" s="3">
        <v>0</v>
      </c>
      <c r="G31" s="3">
        <v>7</v>
      </c>
      <c r="H31" s="3" t="s">
        <v>57</v>
      </c>
      <c r="I31" s="3">
        <v>1</v>
      </c>
      <c r="J31" s="3">
        <v>0.70669679200364</v>
      </c>
      <c r="K31" s="3" t="s">
        <v>48</v>
      </c>
      <c r="L31" s="3">
        <v>7</v>
      </c>
      <c r="M31" s="3">
        <v>0</v>
      </c>
      <c r="N31" s="3">
        <v>28</v>
      </c>
      <c r="O31" s="3">
        <v>2</v>
      </c>
      <c r="P31" s="3">
        <v>82.068096166003698</v>
      </c>
      <c r="Q31" s="2"/>
      <c r="R31" s="2"/>
      <c r="S31" s="2"/>
      <c r="T31" s="2"/>
      <c r="U31" s="2"/>
      <c r="V31" s="2"/>
      <c r="W31" s="2"/>
      <c r="X31" s="2"/>
      <c r="Y31" s="2"/>
      <c r="Z31" s="3">
        <v>82.060980708003598</v>
      </c>
      <c r="AA31" s="3">
        <v>82.068096166003698</v>
      </c>
      <c r="AB31" s="3">
        <v>82.551403874997106</v>
      </c>
      <c r="AC31" s="3">
        <v>82.551403874997106</v>
      </c>
      <c r="AD31" s="3">
        <v>82.551403874997106</v>
      </c>
      <c r="AE31" s="3">
        <v>83.260298082997906</v>
      </c>
      <c r="AF31" s="3" t="s">
        <v>57</v>
      </c>
      <c r="AG31" s="3">
        <v>1</v>
      </c>
      <c r="AH31" s="3">
        <v>0.70669679200364</v>
      </c>
      <c r="AI31" s="3" t="s">
        <v>48</v>
      </c>
      <c r="AJ31" s="2"/>
      <c r="AK31" s="2"/>
      <c r="AL31" s="2"/>
      <c r="AM31" s="2"/>
      <c r="AN31" s="3" t="s">
        <v>49</v>
      </c>
      <c r="AO31" s="3">
        <v>2</v>
      </c>
      <c r="AP31" s="3" t="s">
        <v>50</v>
      </c>
      <c r="AQ31" s="3" t="s">
        <v>51</v>
      </c>
      <c r="AR31" s="2"/>
      <c r="AS31" s="3" t="s">
        <v>52</v>
      </c>
      <c r="AT31" s="3">
        <v>121.512281589049</v>
      </c>
      <c r="AU31" s="3" t="s">
        <v>53</v>
      </c>
      <c r="AV31" s="2"/>
    </row>
    <row r="32" spans="1:48" x14ac:dyDescent="0.2">
      <c r="A32" s="1" t="s">
        <v>54</v>
      </c>
      <c r="B32" s="3" t="s">
        <v>60</v>
      </c>
      <c r="C32" s="3" t="s">
        <v>59</v>
      </c>
      <c r="D32" s="3" t="s">
        <v>61</v>
      </c>
      <c r="E32" s="3">
        <v>29</v>
      </c>
      <c r="F32" s="3">
        <v>1</v>
      </c>
      <c r="G32" s="3">
        <v>7</v>
      </c>
      <c r="H32" s="3" t="s">
        <v>61</v>
      </c>
      <c r="I32" s="3">
        <v>1</v>
      </c>
      <c r="J32" s="3">
        <v>0.60156879199348601</v>
      </c>
      <c r="K32" s="3" t="s">
        <v>48</v>
      </c>
      <c r="L32" s="3">
        <v>7</v>
      </c>
      <c r="M32" s="3">
        <v>1</v>
      </c>
      <c r="N32" s="3">
        <v>29</v>
      </c>
      <c r="O32" s="3">
        <v>3</v>
      </c>
      <c r="P32" s="3">
        <v>83.2682166250015</v>
      </c>
      <c r="Q32" s="2"/>
      <c r="R32" s="2"/>
      <c r="S32" s="2"/>
      <c r="T32" s="2"/>
      <c r="U32" s="2"/>
      <c r="V32" s="2"/>
      <c r="W32" s="2"/>
      <c r="X32" s="2"/>
      <c r="Y32" s="2"/>
      <c r="Z32" s="3">
        <v>83.260435832999093</v>
      </c>
      <c r="AA32" s="3">
        <v>83.2682166250015</v>
      </c>
      <c r="AB32" s="3">
        <v>83.751538832999401</v>
      </c>
      <c r="AC32" s="3">
        <v>83.751538832999401</v>
      </c>
      <c r="AD32" s="3">
        <v>83.751538832999401</v>
      </c>
      <c r="AE32" s="3">
        <v>84.359833458002001</v>
      </c>
      <c r="AF32" s="3" t="s">
        <v>61</v>
      </c>
      <c r="AG32" s="3">
        <v>1</v>
      </c>
      <c r="AH32" s="3">
        <v>0.60156879199348601</v>
      </c>
      <c r="AI32" s="3" t="s">
        <v>48</v>
      </c>
      <c r="AJ32" s="2"/>
      <c r="AK32" s="2"/>
      <c r="AL32" s="2"/>
      <c r="AM32" s="2"/>
      <c r="AN32" s="3" t="s">
        <v>49</v>
      </c>
      <c r="AO32" s="3">
        <v>2</v>
      </c>
      <c r="AP32" s="3" t="s">
        <v>50</v>
      </c>
      <c r="AQ32" s="3" t="s">
        <v>51</v>
      </c>
      <c r="AR32" s="2"/>
      <c r="AS32" s="3" t="s">
        <v>52</v>
      </c>
      <c r="AT32" s="3">
        <v>121.512281589049</v>
      </c>
      <c r="AU32" s="3" t="s">
        <v>53</v>
      </c>
      <c r="AV32" s="2"/>
    </row>
    <row r="33" spans="1:48" x14ac:dyDescent="0.2">
      <c r="A33" s="1" t="s">
        <v>58</v>
      </c>
      <c r="B33" s="3" t="s">
        <v>55</v>
      </c>
      <c r="C33" s="3" t="s">
        <v>59</v>
      </c>
      <c r="D33" s="3" t="s">
        <v>57</v>
      </c>
      <c r="E33" s="3">
        <v>30</v>
      </c>
      <c r="F33" s="3">
        <v>2</v>
      </c>
      <c r="G33" s="3">
        <v>7</v>
      </c>
      <c r="H33" s="3" t="s">
        <v>57</v>
      </c>
      <c r="I33" s="3">
        <v>1</v>
      </c>
      <c r="J33" s="3">
        <v>0.64729387500119595</v>
      </c>
      <c r="K33" s="3" t="s">
        <v>48</v>
      </c>
      <c r="L33" s="3">
        <v>7</v>
      </c>
      <c r="M33" s="3">
        <v>2</v>
      </c>
      <c r="N33" s="3">
        <v>30</v>
      </c>
      <c r="O33" s="3">
        <v>0</v>
      </c>
      <c r="P33" s="3">
        <v>84.368040374996795</v>
      </c>
      <c r="Q33" s="2"/>
      <c r="R33" s="2"/>
      <c r="S33" s="2"/>
      <c r="T33" s="2"/>
      <c r="U33" s="2"/>
      <c r="V33" s="2"/>
      <c r="W33" s="2"/>
      <c r="X33" s="2"/>
      <c r="Y33" s="2"/>
      <c r="Z33" s="3">
        <v>84.360475957997593</v>
      </c>
      <c r="AA33" s="3">
        <v>84.368040374996795</v>
      </c>
      <c r="AB33" s="3">
        <v>84.851759666002195</v>
      </c>
      <c r="AC33" s="3">
        <v>84.851759666002195</v>
      </c>
      <c r="AD33" s="3">
        <v>84.851759666002195</v>
      </c>
      <c r="AE33" s="3">
        <v>85.501928625002606</v>
      </c>
      <c r="AF33" s="3" t="s">
        <v>57</v>
      </c>
      <c r="AG33" s="3">
        <v>1</v>
      </c>
      <c r="AH33" s="3">
        <v>0.64729387500119595</v>
      </c>
      <c r="AI33" s="3" t="s">
        <v>48</v>
      </c>
      <c r="AJ33" s="2"/>
      <c r="AK33" s="2"/>
      <c r="AL33" s="2"/>
      <c r="AM33" s="2"/>
      <c r="AN33" s="3" t="s">
        <v>49</v>
      </c>
      <c r="AO33" s="3">
        <v>2</v>
      </c>
      <c r="AP33" s="3" t="s">
        <v>50</v>
      </c>
      <c r="AQ33" s="3" t="s">
        <v>51</v>
      </c>
      <c r="AR33" s="2"/>
      <c r="AS33" s="3" t="s">
        <v>52</v>
      </c>
      <c r="AT33" s="3">
        <v>121.512281589049</v>
      </c>
      <c r="AU33" s="3" t="s">
        <v>53</v>
      </c>
      <c r="AV33" s="2"/>
    </row>
    <row r="34" spans="1:48" x14ac:dyDescent="0.2">
      <c r="A34" s="1" t="s">
        <v>58</v>
      </c>
      <c r="B34" s="3" t="s">
        <v>60</v>
      </c>
      <c r="C34" s="3" t="s">
        <v>56</v>
      </c>
      <c r="D34" s="3" t="s">
        <v>61</v>
      </c>
      <c r="E34" s="3">
        <v>31</v>
      </c>
      <c r="F34" s="3">
        <v>3</v>
      </c>
      <c r="G34" s="3">
        <v>7</v>
      </c>
      <c r="H34" s="3" t="s">
        <v>57</v>
      </c>
      <c r="I34" s="3">
        <v>0</v>
      </c>
      <c r="J34" s="3">
        <v>0.97739525000361005</v>
      </c>
      <c r="K34" s="3" t="s">
        <v>48</v>
      </c>
      <c r="L34" s="3">
        <v>7</v>
      </c>
      <c r="M34" s="3">
        <v>3</v>
      </c>
      <c r="N34" s="3">
        <v>31</v>
      </c>
      <c r="O34" s="3">
        <v>1</v>
      </c>
      <c r="P34" s="3">
        <v>85.509774999998598</v>
      </c>
      <c r="Q34" s="2"/>
      <c r="R34" s="2"/>
      <c r="S34" s="2"/>
      <c r="T34" s="2"/>
      <c r="U34" s="2"/>
      <c r="V34" s="2"/>
      <c r="W34" s="2"/>
      <c r="X34" s="2"/>
      <c r="Y34" s="2"/>
      <c r="Z34" s="3">
        <v>85.502063708001501</v>
      </c>
      <c r="AA34" s="3">
        <v>85.509774999998598</v>
      </c>
      <c r="AB34" s="3">
        <v>85.993571582999706</v>
      </c>
      <c r="AC34" s="3">
        <v>85.993571582999706</v>
      </c>
      <c r="AD34" s="3">
        <v>85.993571582999706</v>
      </c>
      <c r="AE34" s="3">
        <v>86.977086874998406</v>
      </c>
      <c r="AF34" s="3" t="s">
        <v>57</v>
      </c>
      <c r="AG34" s="3">
        <v>0</v>
      </c>
      <c r="AH34" s="3">
        <v>0.97739525000361005</v>
      </c>
      <c r="AI34" s="3" t="s">
        <v>48</v>
      </c>
      <c r="AJ34" s="2"/>
      <c r="AK34" s="2"/>
      <c r="AL34" s="2"/>
      <c r="AM34" s="2"/>
      <c r="AN34" s="3" t="s">
        <v>49</v>
      </c>
      <c r="AO34" s="3">
        <v>2</v>
      </c>
      <c r="AP34" s="3" t="s">
        <v>50</v>
      </c>
      <c r="AQ34" s="3" t="s">
        <v>51</v>
      </c>
      <c r="AR34" s="2"/>
      <c r="AS34" s="3" t="s">
        <v>52</v>
      </c>
      <c r="AT34" s="3">
        <v>121.512281589049</v>
      </c>
      <c r="AU34" s="3" t="s">
        <v>53</v>
      </c>
      <c r="AV34" s="2"/>
    </row>
    <row r="35" spans="1:48" x14ac:dyDescent="0.2">
      <c r="A35" s="1" t="s">
        <v>58</v>
      </c>
      <c r="B35" s="3" t="s">
        <v>55</v>
      </c>
      <c r="C35" s="3" t="s">
        <v>59</v>
      </c>
      <c r="D35" s="3" t="s">
        <v>57</v>
      </c>
      <c r="E35" s="3">
        <v>32</v>
      </c>
      <c r="F35" s="3">
        <v>0</v>
      </c>
      <c r="G35" s="3">
        <v>8</v>
      </c>
      <c r="H35" s="3" t="s">
        <v>57</v>
      </c>
      <c r="I35" s="3">
        <v>1</v>
      </c>
      <c r="J35" s="3">
        <v>1.3965151669981399</v>
      </c>
      <c r="K35" s="3" t="s">
        <v>48</v>
      </c>
      <c r="L35" s="3">
        <v>8</v>
      </c>
      <c r="M35" s="3">
        <v>0</v>
      </c>
      <c r="N35" s="3">
        <v>32</v>
      </c>
      <c r="O35" s="3">
        <v>0</v>
      </c>
      <c r="P35" s="3">
        <v>86.9844152910009</v>
      </c>
      <c r="Q35" s="2"/>
      <c r="R35" s="2"/>
      <c r="S35" s="2"/>
      <c r="T35" s="2"/>
      <c r="U35" s="2"/>
      <c r="V35" s="2"/>
      <c r="W35" s="2"/>
      <c r="X35" s="2"/>
      <c r="Y35" s="2"/>
      <c r="Z35" s="3">
        <v>86.977221291002905</v>
      </c>
      <c r="AA35" s="3">
        <v>86.9844152910009</v>
      </c>
      <c r="AB35" s="3">
        <v>87.468414374998304</v>
      </c>
      <c r="AC35" s="3">
        <v>87.468414374998304</v>
      </c>
      <c r="AD35" s="3">
        <v>87.468414374998304</v>
      </c>
      <c r="AE35" s="3">
        <v>88.868423166000895</v>
      </c>
      <c r="AF35" s="3" t="s">
        <v>57</v>
      </c>
      <c r="AG35" s="3">
        <v>1</v>
      </c>
      <c r="AH35" s="3">
        <v>1.3965151669981399</v>
      </c>
      <c r="AI35" s="3" t="s">
        <v>48</v>
      </c>
      <c r="AJ35" s="2"/>
      <c r="AK35" s="2"/>
      <c r="AL35" s="2"/>
      <c r="AM35" s="2"/>
      <c r="AN35" s="3" t="s">
        <v>49</v>
      </c>
      <c r="AO35" s="3">
        <v>2</v>
      </c>
      <c r="AP35" s="3" t="s">
        <v>50</v>
      </c>
      <c r="AQ35" s="3" t="s">
        <v>51</v>
      </c>
      <c r="AR35" s="2"/>
      <c r="AS35" s="3" t="s">
        <v>52</v>
      </c>
      <c r="AT35" s="3">
        <v>121.512281589049</v>
      </c>
      <c r="AU35" s="3" t="s">
        <v>53</v>
      </c>
      <c r="AV35" s="2"/>
    </row>
    <row r="36" spans="1:48" x14ac:dyDescent="0.2">
      <c r="A36" s="1" t="s">
        <v>54</v>
      </c>
      <c r="B36" s="3" t="s">
        <v>55</v>
      </c>
      <c r="C36" s="3" t="s">
        <v>56</v>
      </c>
      <c r="D36" s="3" t="s">
        <v>57</v>
      </c>
      <c r="E36" s="3">
        <v>33</v>
      </c>
      <c r="F36" s="3">
        <v>1</v>
      </c>
      <c r="G36" s="3">
        <v>8</v>
      </c>
      <c r="H36" s="3" t="s">
        <v>57</v>
      </c>
      <c r="I36" s="3">
        <v>1</v>
      </c>
      <c r="J36" s="3">
        <v>0.91983295899990503</v>
      </c>
      <c r="K36" s="3" t="s">
        <v>48</v>
      </c>
      <c r="L36" s="3">
        <v>8</v>
      </c>
      <c r="M36" s="3">
        <v>1</v>
      </c>
      <c r="N36" s="3">
        <v>33</v>
      </c>
      <c r="O36" s="3">
        <v>2</v>
      </c>
      <c r="P36" s="3">
        <v>88.876336415996803</v>
      </c>
      <c r="Q36" s="2"/>
      <c r="R36" s="2"/>
      <c r="S36" s="2"/>
      <c r="T36" s="2"/>
      <c r="U36" s="2"/>
      <c r="V36" s="2"/>
      <c r="W36" s="2"/>
      <c r="X36" s="2"/>
      <c r="Y36" s="2"/>
      <c r="Z36" s="3">
        <v>88.869057582996902</v>
      </c>
      <c r="AA36" s="3">
        <v>88.876336415996803</v>
      </c>
      <c r="AB36" s="3">
        <v>89.360045624998804</v>
      </c>
      <c r="AC36" s="3">
        <v>89.360045624998804</v>
      </c>
      <c r="AD36" s="3">
        <v>89.360045624998804</v>
      </c>
      <c r="AE36" s="3">
        <v>90.284881166000602</v>
      </c>
      <c r="AF36" s="3" t="s">
        <v>57</v>
      </c>
      <c r="AG36" s="3">
        <v>1</v>
      </c>
      <c r="AH36" s="3">
        <v>0.91983295899990503</v>
      </c>
      <c r="AI36" s="3" t="s">
        <v>48</v>
      </c>
      <c r="AJ36" s="2"/>
      <c r="AK36" s="2"/>
      <c r="AL36" s="2"/>
      <c r="AM36" s="2"/>
      <c r="AN36" s="3" t="s">
        <v>49</v>
      </c>
      <c r="AO36" s="3">
        <v>2</v>
      </c>
      <c r="AP36" s="3" t="s">
        <v>50</v>
      </c>
      <c r="AQ36" s="3" t="s">
        <v>51</v>
      </c>
      <c r="AR36" s="2"/>
      <c r="AS36" s="3" t="s">
        <v>52</v>
      </c>
      <c r="AT36" s="3">
        <v>121.512281589049</v>
      </c>
      <c r="AU36" s="3" t="s">
        <v>53</v>
      </c>
      <c r="AV36" s="2"/>
    </row>
    <row r="37" spans="1:48" x14ac:dyDescent="0.2">
      <c r="A37" s="1" t="s">
        <v>54</v>
      </c>
      <c r="B37" s="3" t="s">
        <v>60</v>
      </c>
      <c r="C37" s="3" t="s">
        <v>59</v>
      </c>
      <c r="D37" s="3" t="s">
        <v>61</v>
      </c>
      <c r="E37" s="3">
        <v>34</v>
      </c>
      <c r="F37" s="3">
        <v>2</v>
      </c>
      <c r="G37" s="3">
        <v>8</v>
      </c>
      <c r="H37" s="3" t="s">
        <v>61</v>
      </c>
      <c r="I37" s="3">
        <v>1</v>
      </c>
      <c r="J37" s="3">
        <v>0.58569858400005603</v>
      </c>
      <c r="K37" s="3" t="s">
        <v>48</v>
      </c>
      <c r="L37" s="3">
        <v>8</v>
      </c>
      <c r="M37" s="3">
        <v>2</v>
      </c>
      <c r="N37" s="3">
        <v>34</v>
      </c>
      <c r="O37" s="3">
        <v>3</v>
      </c>
      <c r="P37" s="3">
        <v>90.293085707999097</v>
      </c>
      <c r="Q37" s="2"/>
      <c r="R37" s="2"/>
      <c r="S37" s="2"/>
      <c r="T37" s="2"/>
      <c r="U37" s="2"/>
      <c r="V37" s="2"/>
      <c r="W37" s="2"/>
      <c r="X37" s="2"/>
      <c r="Y37" s="2"/>
      <c r="Z37" s="3">
        <v>90.285016832996902</v>
      </c>
      <c r="AA37" s="3">
        <v>90.293085707999097</v>
      </c>
      <c r="AB37" s="3">
        <v>90.776149874996904</v>
      </c>
      <c r="AC37" s="3">
        <v>90.776149874996904</v>
      </c>
      <c r="AD37" s="3">
        <v>90.776149874996904</v>
      </c>
      <c r="AE37" s="3">
        <v>91.368325124996801</v>
      </c>
      <c r="AF37" s="3" t="s">
        <v>61</v>
      </c>
      <c r="AG37" s="3">
        <v>1</v>
      </c>
      <c r="AH37" s="3">
        <v>0.58569858400005603</v>
      </c>
      <c r="AI37" s="3" t="s">
        <v>48</v>
      </c>
      <c r="AJ37" s="2"/>
      <c r="AK37" s="2"/>
      <c r="AL37" s="2"/>
      <c r="AM37" s="2"/>
      <c r="AN37" s="3" t="s">
        <v>49</v>
      </c>
      <c r="AO37" s="3">
        <v>2</v>
      </c>
      <c r="AP37" s="3" t="s">
        <v>50</v>
      </c>
      <c r="AQ37" s="3" t="s">
        <v>51</v>
      </c>
      <c r="AR37" s="2"/>
      <c r="AS37" s="3" t="s">
        <v>52</v>
      </c>
      <c r="AT37" s="3">
        <v>121.512281589049</v>
      </c>
      <c r="AU37" s="3" t="s">
        <v>53</v>
      </c>
      <c r="AV37" s="2"/>
    </row>
    <row r="38" spans="1:48" x14ac:dyDescent="0.2">
      <c r="A38" s="1" t="s">
        <v>58</v>
      </c>
      <c r="B38" s="3" t="s">
        <v>60</v>
      </c>
      <c r="C38" s="3" t="s">
        <v>56</v>
      </c>
      <c r="D38" s="3" t="s">
        <v>61</v>
      </c>
      <c r="E38" s="3">
        <v>35</v>
      </c>
      <c r="F38" s="3">
        <v>3</v>
      </c>
      <c r="G38" s="3">
        <v>8</v>
      </c>
      <c r="H38" s="3" t="s">
        <v>61</v>
      </c>
      <c r="I38" s="3">
        <v>1</v>
      </c>
      <c r="J38" s="3">
        <v>0.60076370799652101</v>
      </c>
      <c r="K38" s="3" t="s">
        <v>48</v>
      </c>
      <c r="L38" s="3">
        <v>8</v>
      </c>
      <c r="M38" s="3">
        <v>3</v>
      </c>
      <c r="N38" s="3">
        <v>35</v>
      </c>
      <c r="O38" s="3">
        <v>1</v>
      </c>
      <c r="P38" s="3">
        <v>91.376691333003706</v>
      </c>
      <c r="Q38" s="2"/>
      <c r="R38" s="2"/>
      <c r="S38" s="2"/>
      <c r="T38" s="2"/>
      <c r="U38" s="2"/>
      <c r="V38" s="2"/>
      <c r="W38" s="2"/>
      <c r="X38" s="2"/>
      <c r="Y38" s="2"/>
      <c r="Z38" s="3">
        <v>91.368945540998496</v>
      </c>
      <c r="AA38" s="3">
        <v>91.376691333003706</v>
      </c>
      <c r="AB38" s="3">
        <v>91.860001833003494</v>
      </c>
      <c r="AC38" s="3">
        <v>91.860001833003494</v>
      </c>
      <c r="AD38" s="3">
        <v>91.860001833003494</v>
      </c>
      <c r="AE38" s="3">
        <v>92.468580790999098</v>
      </c>
      <c r="AF38" s="3" t="s">
        <v>61</v>
      </c>
      <c r="AG38" s="3">
        <v>1</v>
      </c>
      <c r="AH38" s="3">
        <v>0.60076370799652101</v>
      </c>
      <c r="AI38" s="3" t="s">
        <v>48</v>
      </c>
      <c r="AJ38" s="2"/>
      <c r="AK38" s="2"/>
      <c r="AL38" s="2"/>
      <c r="AM38" s="2"/>
      <c r="AN38" s="3" t="s">
        <v>49</v>
      </c>
      <c r="AO38" s="3">
        <v>2</v>
      </c>
      <c r="AP38" s="3" t="s">
        <v>50</v>
      </c>
      <c r="AQ38" s="3" t="s">
        <v>51</v>
      </c>
      <c r="AR38" s="2"/>
      <c r="AS38" s="3" t="s">
        <v>52</v>
      </c>
      <c r="AT38" s="3">
        <v>121.512281589049</v>
      </c>
      <c r="AU38" s="3" t="s">
        <v>53</v>
      </c>
      <c r="AV38" s="2"/>
    </row>
    <row r="39" spans="1:48" x14ac:dyDescent="0.2">
      <c r="A39" s="1" t="s">
        <v>58</v>
      </c>
      <c r="B39" s="3" t="s">
        <v>55</v>
      </c>
      <c r="C39" s="3" t="s">
        <v>59</v>
      </c>
      <c r="D39" s="3" t="s">
        <v>57</v>
      </c>
      <c r="E39" s="3">
        <v>36</v>
      </c>
      <c r="F39" s="3">
        <v>0</v>
      </c>
      <c r="G39" s="3">
        <v>9</v>
      </c>
      <c r="H39" s="3" t="s">
        <v>57</v>
      </c>
      <c r="I39" s="3">
        <v>1</v>
      </c>
      <c r="J39" s="3">
        <v>0.65276566700049399</v>
      </c>
      <c r="K39" s="3" t="s">
        <v>48</v>
      </c>
      <c r="L39" s="3">
        <v>9</v>
      </c>
      <c r="M39" s="3">
        <v>0</v>
      </c>
      <c r="N39" s="3">
        <v>36</v>
      </c>
      <c r="O39" s="3">
        <v>0</v>
      </c>
      <c r="P39" s="3">
        <v>92.476554957996996</v>
      </c>
      <c r="Q39" s="2"/>
      <c r="R39" s="2"/>
      <c r="S39" s="2"/>
      <c r="T39" s="2"/>
      <c r="U39" s="2"/>
      <c r="V39" s="2"/>
      <c r="W39" s="2"/>
      <c r="X39" s="2"/>
      <c r="Y39" s="2"/>
      <c r="Z39" s="3">
        <v>92.468720040997098</v>
      </c>
      <c r="AA39" s="3">
        <v>92.476554957996996</v>
      </c>
      <c r="AB39" s="3">
        <v>92.959977582999301</v>
      </c>
      <c r="AC39" s="3">
        <v>92.959977582999301</v>
      </c>
      <c r="AD39" s="3">
        <v>92.959977582999301</v>
      </c>
      <c r="AE39" s="3">
        <v>93.618171791000407</v>
      </c>
      <c r="AF39" s="3" t="s">
        <v>57</v>
      </c>
      <c r="AG39" s="3">
        <v>1</v>
      </c>
      <c r="AH39" s="3">
        <v>0.65276566700049399</v>
      </c>
      <c r="AI39" s="3" t="s">
        <v>48</v>
      </c>
      <c r="AJ39" s="2"/>
      <c r="AK39" s="2"/>
      <c r="AL39" s="2"/>
      <c r="AM39" s="2"/>
      <c r="AN39" s="3" t="s">
        <v>49</v>
      </c>
      <c r="AO39" s="3">
        <v>2</v>
      </c>
      <c r="AP39" s="3" t="s">
        <v>50</v>
      </c>
      <c r="AQ39" s="3" t="s">
        <v>51</v>
      </c>
      <c r="AR39" s="2"/>
      <c r="AS39" s="3" t="s">
        <v>52</v>
      </c>
      <c r="AT39" s="3">
        <v>121.512281589049</v>
      </c>
      <c r="AU39" s="3" t="s">
        <v>53</v>
      </c>
      <c r="AV39" s="2"/>
    </row>
    <row r="40" spans="1:48" x14ac:dyDescent="0.2">
      <c r="A40" s="1" t="s">
        <v>54</v>
      </c>
      <c r="B40" s="3" t="s">
        <v>55</v>
      </c>
      <c r="C40" s="3" t="s">
        <v>56</v>
      </c>
      <c r="D40" s="3" t="s">
        <v>57</v>
      </c>
      <c r="E40" s="3">
        <v>37</v>
      </c>
      <c r="F40" s="3">
        <v>1</v>
      </c>
      <c r="G40" s="3">
        <v>9</v>
      </c>
      <c r="H40" s="3" t="s">
        <v>57</v>
      </c>
      <c r="I40" s="3">
        <v>1</v>
      </c>
      <c r="J40" s="3">
        <v>0.94367137499648401</v>
      </c>
      <c r="K40" s="3" t="s">
        <v>48</v>
      </c>
      <c r="L40" s="3">
        <v>9</v>
      </c>
      <c r="M40" s="3">
        <v>1</v>
      </c>
      <c r="N40" s="3">
        <v>37</v>
      </c>
      <c r="O40" s="3">
        <v>2</v>
      </c>
      <c r="P40" s="3">
        <v>93.626417958003003</v>
      </c>
      <c r="Q40" s="2"/>
      <c r="R40" s="2"/>
      <c r="S40" s="2"/>
      <c r="T40" s="2"/>
      <c r="U40" s="2"/>
      <c r="V40" s="2"/>
      <c r="W40" s="2"/>
      <c r="X40" s="2"/>
      <c r="Y40" s="2"/>
      <c r="Z40" s="3">
        <v>93.618809624997098</v>
      </c>
      <c r="AA40" s="3">
        <v>93.626417958003003</v>
      </c>
      <c r="AB40" s="3">
        <v>94.110035625002595</v>
      </c>
      <c r="AC40" s="3">
        <v>94.110035625002595</v>
      </c>
      <c r="AD40" s="3">
        <v>94.110035625002595</v>
      </c>
      <c r="AE40" s="3">
        <v>95.060322083001694</v>
      </c>
      <c r="AF40" s="3" t="s">
        <v>57</v>
      </c>
      <c r="AG40" s="3">
        <v>1</v>
      </c>
      <c r="AH40" s="3">
        <v>0.94367137499648401</v>
      </c>
      <c r="AI40" s="3" t="s">
        <v>48</v>
      </c>
      <c r="AJ40" s="2"/>
      <c r="AK40" s="2"/>
      <c r="AL40" s="2"/>
      <c r="AM40" s="2"/>
      <c r="AN40" s="3" t="s">
        <v>49</v>
      </c>
      <c r="AO40" s="3">
        <v>2</v>
      </c>
      <c r="AP40" s="3" t="s">
        <v>50</v>
      </c>
      <c r="AQ40" s="3" t="s">
        <v>51</v>
      </c>
      <c r="AR40" s="2"/>
      <c r="AS40" s="3" t="s">
        <v>52</v>
      </c>
      <c r="AT40" s="3">
        <v>121.512281589049</v>
      </c>
      <c r="AU40" s="3" t="s">
        <v>53</v>
      </c>
      <c r="AV40" s="2"/>
    </row>
    <row r="41" spans="1:48" x14ac:dyDescent="0.2">
      <c r="A41" s="1" t="s">
        <v>54</v>
      </c>
      <c r="B41" s="3" t="s">
        <v>60</v>
      </c>
      <c r="C41" s="3" t="s">
        <v>59</v>
      </c>
      <c r="D41" s="3" t="s">
        <v>61</v>
      </c>
      <c r="E41" s="3">
        <v>38</v>
      </c>
      <c r="F41" s="3">
        <v>2</v>
      </c>
      <c r="G41" s="3">
        <v>9</v>
      </c>
      <c r="H41" s="3" t="s">
        <v>61</v>
      </c>
      <c r="I41" s="3">
        <v>1</v>
      </c>
      <c r="J41" s="3">
        <v>0.74800062499707598</v>
      </c>
      <c r="K41" s="3" t="s">
        <v>48</v>
      </c>
      <c r="L41" s="3">
        <v>9</v>
      </c>
      <c r="M41" s="3">
        <v>2</v>
      </c>
      <c r="N41" s="3">
        <v>38</v>
      </c>
      <c r="O41" s="3">
        <v>3</v>
      </c>
      <c r="P41" s="3">
        <v>95.0682978330005</v>
      </c>
      <c r="Q41" s="2"/>
      <c r="R41" s="2"/>
      <c r="S41" s="2"/>
      <c r="T41" s="2"/>
      <c r="U41" s="2"/>
      <c r="V41" s="2"/>
      <c r="W41" s="2"/>
      <c r="X41" s="2"/>
      <c r="Y41" s="2"/>
      <c r="Z41" s="3">
        <v>95.060461207998699</v>
      </c>
      <c r="AA41" s="3">
        <v>95.0682978330005</v>
      </c>
      <c r="AB41" s="3">
        <v>95.551632166003401</v>
      </c>
      <c r="AC41" s="3">
        <v>95.551632166003401</v>
      </c>
      <c r="AD41" s="3">
        <v>95.551632166003401</v>
      </c>
      <c r="AE41" s="3">
        <v>96.301850333002207</v>
      </c>
      <c r="AF41" s="3" t="s">
        <v>61</v>
      </c>
      <c r="AG41" s="3">
        <v>1</v>
      </c>
      <c r="AH41" s="3">
        <v>0.74800062499707598</v>
      </c>
      <c r="AI41" s="3" t="s">
        <v>48</v>
      </c>
      <c r="AJ41" s="2"/>
      <c r="AK41" s="2"/>
      <c r="AL41" s="2"/>
      <c r="AM41" s="2"/>
      <c r="AN41" s="3" t="s">
        <v>49</v>
      </c>
      <c r="AO41" s="3">
        <v>2</v>
      </c>
      <c r="AP41" s="3" t="s">
        <v>50</v>
      </c>
      <c r="AQ41" s="3" t="s">
        <v>51</v>
      </c>
      <c r="AR41" s="2"/>
      <c r="AS41" s="3" t="s">
        <v>52</v>
      </c>
      <c r="AT41" s="3">
        <v>121.512281589049</v>
      </c>
      <c r="AU41" s="3" t="s">
        <v>53</v>
      </c>
      <c r="AV41" s="2"/>
    </row>
    <row r="42" spans="1:48" x14ac:dyDescent="0.2">
      <c r="A42" s="1" t="s">
        <v>58</v>
      </c>
      <c r="B42" s="3" t="s">
        <v>60</v>
      </c>
      <c r="C42" s="3" t="s">
        <v>56</v>
      </c>
      <c r="D42" s="3" t="s">
        <v>61</v>
      </c>
      <c r="E42" s="3">
        <v>39</v>
      </c>
      <c r="F42" s="3">
        <v>3</v>
      </c>
      <c r="G42" s="3">
        <v>9</v>
      </c>
      <c r="H42" s="3" t="s">
        <v>61</v>
      </c>
      <c r="I42" s="3">
        <v>1</v>
      </c>
      <c r="J42" s="3">
        <v>1.2131967910026999</v>
      </c>
      <c r="K42" s="3" t="s">
        <v>48</v>
      </c>
      <c r="L42" s="3">
        <v>9</v>
      </c>
      <c r="M42" s="3">
        <v>3</v>
      </c>
      <c r="N42" s="3">
        <v>39</v>
      </c>
      <c r="O42" s="3">
        <v>1</v>
      </c>
      <c r="P42" s="3">
        <v>96.309481458003603</v>
      </c>
      <c r="Q42" s="2"/>
      <c r="R42" s="2"/>
      <c r="S42" s="2"/>
      <c r="T42" s="2"/>
      <c r="U42" s="2"/>
      <c r="V42" s="2"/>
      <c r="W42" s="2"/>
      <c r="X42" s="2"/>
      <c r="Y42" s="2"/>
      <c r="Z42" s="3">
        <v>96.302567915998196</v>
      </c>
      <c r="AA42" s="3">
        <v>96.309481458003603</v>
      </c>
      <c r="AB42" s="3">
        <v>96.793373291002396</v>
      </c>
      <c r="AC42" s="3">
        <v>96.793373291002396</v>
      </c>
      <c r="AD42" s="3">
        <v>96.793373291002396</v>
      </c>
      <c r="AE42" s="3">
        <v>98.009920415999702</v>
      </c>
      <c r="AF42" s="3" t="s">
        <v>61</v>
      </c>
      <c r="AG42" s="3">
        <v>1</v>
      </c>
      <c r="AH42" s="3">
        <v>1.2131967910026999</v>
      </c>
      <c r="AI42" s="3" t="s">
        <v>48</v>
      </c>
      <c r="AJ42" s="2"/>
      <c r="AK42" s="2"/>
      <c r="AL42" s="2"/>
      <c r="AM42" s="2"/>
      <c r="AN42" s="3" t="s">
        <v>49</v>
      </c>
      <c r="AO42" s="3">
        <v>2</v>
      </c>
      <c r="AP42" s="3" t="s">
        <v>50</v>
      </c>
      <c r="AQ42" s="3" t="s">
        <v>51</v>
      </c>
      <c r="AR42" s="2"/>
      <c r="AS42" s="3" t="s">
        <v>52</v>
      </c>
      <c r="AT42" s="3">
        <v>121.512281589049</v>
      </c>
      <c r="AU42" s="3" t="s">
        <v>53</v>
      </c>
      <c r="AV42" s="2"/>
    </row>
    <row r="43" spans="1:4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>
        <v>98.009961707997704</v>
      </c>
      <c r="AK43" s="3">
        <v>98.017926332999195</v>
      </c>
      <c r="AL43" s="3">
        <v>100.009877458004</v>
      </c>
      <c r="AM43" s="3">
        <v>100.001509458001</v>
      </c>
      <c r="AN43" s="3" t="s">
        <v>49</v>
      </c>
      <c r="AO43" s="3">
        <v>2</v>
      </c>
      <c r="AP43" s="3" t="s">
        <v>50</v>
      </c>
      <c r="AQ43" s="3" t="s">
        <v>51</v>
      </c>
      <c r="AR43" s="2"/>
      <c r="AS43" s="3" t="s">
        <v>52</v>
      </c>
      <c r="AT43" s="3">
        <v>121.512281589049</v>
      </c>
      <c r="AU43" s="3" t="s">
        <v>53</v>
      </c>
      <c r="AV43" s="2"/>
    </row>
  </sheetData>
  <autoFilter ref="C1:C43" xr:uid="{1A33B48D-9B6C-3F49-9B37-E15F4A1144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CCD5-EDBD-744A-9B04-461CC2112729}">
  <dimension ref="A1:J44"/>
  <sheetViews>
    <sheetView tabSelected="1" zoomScale="85" workbookViewId="0">
      <selection activeCell="D28" sqref="D28"/>
    </sheetView>
  </sheetViews>
  <sheetFormatPr baseColWidth="10" defaultRowHeight="16" x14ac:dyDescent="0.2"/>
  <cols>
    <col min="1" max="1" width="23.6640625" customWidth="1"/>
    <col min="2" max="2" width="13.83203125" customWidth="1"/>
    <col min="3" max="3" width="14.83203125" customWidth="1"/>
    <col min="4" max="4" width="14.6640625" customWidth="1"/>
    <col min="7" max="7" width="13.6640625" customWidth="1"/>
  </cols>
  <sheetData>
    <row r="1" spans="1:10" x14ac:dyDescent="0.2">
      <c r="F1" t="s">
        <v>66</v>
      </c>
      <c r="I1" t="s">
        <v>67</v>
      </c>
    </row>
    <row r="2" spans="1:10" x14ac:dyDescent="0.2">
      <c r="A2" t="s">
        <v>64</v>
      </c>
      <c r="F2" s="1" t="s">
        <v>2</v>
      </c>
      <c r="G2" s="1" t="s">
        <v>9</v>
      </c>
      <c r="I2" s="1" t="s">
        <v>2</v>
      </c>
      <c r="J2" s="1" t="s">
        <v>9</v>
      </c>
    </row>
    <row r="3" spans="1:10" x14ac:dyDescent="0.2">
      <c r="F3" s="2"/>
      <c r="G3" s="2"/>
      <c r="I3" s="2"/>
      <c r="J3" s="2"/>
    </row>
    <row r="4" spans="1:10" x14ac:dyDescent="0.2">
      <c r="A4" t="s">
        <v>76</v>
      </c>
      <c r="B4">
        <f>AVERAGE(I!J3:J41,H!J3:J42)</f>
        <v>0.72437064345562052</v>
      </c>
      <c r="F4" s="3" t="s">
        <v>56</v>
      </c>
      <c r="G4" s="3">
        <v>0.87043012500362205</v>
      </c>
      <c r="I4" s="3" t="s">
        <v>56</v>
      </c>
      <c r="J4" s="3">
        <v>0.97839329199632596</v>
      </c>
    </row>
    <row r="5" spans="1:10" x14ac:dyDescent="0.2">
      <c r="A5" t="s">
        <v>77</v>
      </c>
      <c r="B5">
        <f>AVERAGE(I!J4:J42,H!J4:J41)</f>
        <v>0.7114318755453235</v>
      </c>
      <c r="F5" s="3" t="s">
        <v>59</v>
      </c>
      <c r="G5" s="3">
        <v>0.61985637500038104</v>
      </c>
      <c r="I5" s="3" t="s">
        <v>59</v>
      </c>
      <c r="J5" s="3">
        <v>1.1671881250003899</v>
      </c>
    </row>
    <row r="6" spans="1:10" x14ac:dyDescent="0.2">
      <c r="A6" t="s">
        <v>65</v>
      </c>
      <c r="B6">
        <f>B4-B5</f>
        <v>1.2938767910297022E-2</v>
      </c>
      <c r="F6" s="3" t="s">
        <v>59</v>
      </c>
      <c r="G6" s="3">
        <v>0.568331667003804</v>
      </c>
      <c r="I6" s="3" t="s">
        <v>59</v>
      </c>
      <c r="J6" s="3">
        <v>0.46345087499503301</v>
      </c>
    </row>
    <row r="7" spans="1:10" x14ac:dyDescent="0.2">
      <c r="A7" t="s">
        <v>68</v>
      </c>
      <c r="B7">
        <f>STDEV(I!J3:J41)</f>
        <v>0.31430571642255339</v>
      </c>
      <c r="F7" s="3" t="s">
        <v>56</v>
      </c>
      <c r="G7" s="3">
        <v>0.37320062499929901</v>
      </c>
      <c r="I7" s="3" t="s">
        <v>56</v>
      </c>
      <c r="J7" s="3">
        <v>0.62503195799945399</v>
      </c>
    </row>
    <row r="8" spans="1:10" x14ac:dyDescent="0.2">
      <c r="A8" t="s">
        <v>69</v>
      </c>
      <c r="B8">
        <f>STDEV(I!J4:J42)</f>
        <v>0.31410016171484667</v>
      </c>
      <c r="F8" s="3" t="s">
        <v>59</v>
      </c>
      <c r="G8" s="3">
        <v>0.27542612500110403</v>
      </c>
      <c r="I8" s="3" t="s">
        <v>59</v>
      </c>
      <c r="J8" s="3">
        <v>1.3862190829968299</v>
      </c>
    </row>
    <row r="9" spans="1:10" x14ac:dyDescent="0.2">
      <c r="A9" t="s">
        <v>70</v>
      </c>
      <c r="B9">
        <f>STDEV(H!J3:J42)</f>
        <v>0.2498081385727898</v>
      </c>
      <c r="F9" s="3" t="s">
        <v>56</v>
      </c>
      <c r="G9" s="3">
        <v>0.25253125000017501</v>
      </c>
      <c r="I9" s="3" t="s">
        <v>59</v>
      </c>
      <c r="J9" s="3">
        <v>0.71665920800296601</v>
      </c>
    </row>
    <row r="10" spans="1:10" x14ac:dyDescent="0.2">
      <c r="A10" t="s">
        <v>71</v>
      </c>
      <c r="B10">
        <f>STDEV(H!J4:J41)</f>
        <v>0.23799538458981115</v>
      </c>
      <c r="F10" s="3" t="s">
        <v>56</v>
      </c>
      <c r="G10" s="3">
        <v>0.34547495799779399</v>
      </c>
      <c r="I10" s="3" t="s">
        <v>56</v>
      </c>
      <c r="J10" s="3">
        <v>0.682258249995357</v>
      </c>
    </row>
    <row r="11" spans="1:10" x14ac:dyDescent="0.2">
      <c r="A11" t="s">
        <v>72</v>
      </c>
      <c r="B11">
        <f>AVERAGE(I!I3:I41)</f>
        <v>0.97435897435897434</v>
      </c>
      <c r="F11" s="3" t="s">
        <v>59</v>
      </c>
      <c r="G11" s="3">
        <v>0.54793375000008404</v>
      </c>
      <c r="I11" s="3" t="s">
        <v>56</v>
      </c>
      <c r="J11" s="3">
        <v>0.62075366600038295</v>
      </c>
    </row>
    <row r="12" spans="1:10" x14ac:dyDescent="0.2">
      <c r="A12" t="s">
        <v>73</v>
      </c>
      <c r="B12">
        <f>AVERAGE(I!I4:I42)</f>
        <v>0.97435897435897434</v>
      </c>
      <c r="F12" s="3" t="s">
        <v>56</v>
      </c>
      <c r="G12" s="3">
        <v>0.49176354100200098</v>
      </c>
      <c r="I12" s="3" t="s">
        <v>56</v>
      </c>
      <c r="J12" s="3">
        <v>0.76110141699609801</v>
      </c>
    </row>
    <row r="13" spans="1:10" x14ac:dyDescent="0.2">
      <c r="A13" t="s">
        <v>74</v>
      </c>
      <c r="B13">
        <f>AVERAGE(H!I3:I42)</f>
        <v>0.97499999999999998</v>
      </c>
      <c r="F13" s="3" t="s">
        <v>59</v>
      </c>
      <c r="G13" s="3">
        <v>0.80104525000206195</v>
      </c>
      <c r="I13" s="3" t="s">
        <v>59</v>
      </c>
      <c r="J13" s="3">
        <v>0.54696895900269704</v>
      </c>
    </row>
    <row r="14" spans="1:10" x14ac:dyDescent="0.2">
      <c r="A14" t="s">
        <v>75</v>
      </c>
      <c r="B14">
        <f>AVERAGE(H!I4:I41)</f>
        <v>0.97368421052631582</v>
      </c>
      <c r="C14" t="s">
        <v>83</v>
      </c>
      <c r="D14" t="s">
        <v>84</v>
      </c>
      <c r="F14" s="3" t="s">
        <v>56</v>
      </c>
      <c r="G14" s="3">
        <v>0.50999204200343196</v>
      </c>
      <c r="I14" s="3" t="s">
        <v>59</v>
      </c>
      <c r="J14" s="3">
        <v>0.54809300000488304</v>
      </c>
    </row>
    <row r="15" spans="1:10" x14ac:dyDescent="0.2">
      <c r="A15" t="s">
        <v>78</v>
      </c>
      <c r="B15">
        <f>AVERAGE(I!J4:J42)</f>
        <v>0.73077882802578797</v>
      </c>
      <c r="C15">
        <v>0.73077879999999995</v>
      </c>
      <c r="D15">
        <v>0.73727719999999997</v>
      </c>
      <c r="F15" s="3" t="s">
        <v>59</v>
      </c>
      <c r="G15" s="3">
        <v>1.0456258330014001</v>
      </c>
      <c r="I15" s="3" t="s">
        <v>56</v>
      </c>
      <c r="J15" s="3">
        <v>0.70668699999805495</v>
      </c>
    </row>
    <row r="16" spans="1:10" x14ac:dyDescent="0.2">
      <c r="A16" t="s">
        <v>81</v>
      </c>
      <c r="B16">
        <f>AVERAGE(I!J3:J41)</f>
        <v>0.73727719553873883</v>
      </c>
      <c r="C16">
        <v>0.69157579999999996</v>
      </c>
      <c r="D16">
        <v>0.71178680000000005</v>
      </c>
      <c r="F16" s="3" t="s">
        <v>59</v>
      </c>
      <c r="G16" s="3">
        <v>0.39122283399774499</v>
      </c>
      <c r="I16" s="3" t="s">
        <v>59</v>
      </c>
      <c r="J16" s="3">
        <v>0.40835845800029302</v>
      </c>
    </row>
    <row r="17" spans="1:10" x14ac:dyDescent="0.2">
      <c r="A17" t="s">
        <v>79</v>
      </c>
      <c r="B17">
        <f>AVERAGE(H!J4:J41)</f>
        <v>0.69157579273642578</v>
      </c>
      <c r="F17" s="3" t="s">
        <v>56</v>
      </c>
      <c r="G17" s="3">
        <v>0.59884958300244795</v>
      </c>
      <c r="I17" s="3" t="s">
        <v>59</v>
      </c>
      <c r="J17" s="3">
        <v>0.41292650000104902</v>
      </c>
    </row>
    <row r="18" spans="1:10" x14ac:dyDescent="0.2">
      <c r="A18" t="s">
        <v>80</v>
      </c>
      <c r="B18">
        <f>AVERAGE(H!J3:J42)</f>
        <v>0.71178675517458001</v>
      </c>
      <c r="F18" s="3" t="s">
        <v>56</v>
      </c>
      <c r="G18" s="3">
        <v>0.95816954099427698</v>
      </c>
      <c r="I18" s="3" t="s">
        <v>56</v>
      </c>
      <c r="J18" s="3">
        <v>0.64357804199971702</v>
      </c>
    </row>
    <row r="19" spans="1:10" x14ac:dyDescent="0.2">
      <c r="A19" t="s">
        <v>82</v>
      </c>
      <c r="B19">
        <f>_xlfn.T.TEST(C15:C16,D15:D16,2,1)</f>
        <v>0.30195504494923114</v>
      </c>
      <c r="F19" s="3" t="s">
        <v>59</v>
      </c>
      <c r="G19" s="3">
        <v>0.88455883300048299</v>
      </c>
      <c r="I19" s="3" t="s">
        <v>56</v>
      </c>
      <c r="J19" s="3">
        <v>0.48706525000306999</v>
      </c>
    </row>
    <row r="20" spans="1:10" x14ac:dyDescent="0.2">
      <c r="F20" s="3" t="s">
        <v>56</v>
      </c>
      <c r="G20" s="3">
        <v>1.0334610409991001</v>
      </c>
      <c r="I20" s="3" t="s">
        <v>59</v>
      </c>
      <c r="J20" s="3">
        <v>0.52666958299960198</v>
      </c>
    </row>
    <row r="21" spans="1:10" x14ac:dyDescent="0.2">
      <c r="F21" s="3" t="s">
        <v>59</v>
      </c>
      <c r="G21" s="3">
        <v>1.51514404200134</v>
      </c>
      <c r="I21" s="3" t="s">
        <v>56</v>
      </c>
      <c r="J21" s="3">
        <v>0.48234220800077299</v>
      </c>
    </row>
    <row r="22" spans="1:10" x14ac:dyDescent="0.2">
      <c r="F22" s="3" t="s">
        <v>56</v>
      </c>
      <c r="G22" s="3">
        <v>1.7712746659963201</v>
      </c>
      <c r="I22" s="3" t="s">
        <v>56</v>
      </c>
      <c r="J22" s="3">
        <v>0.38278804199944699</v>
      </c>
    </row>
    <row r="23" spans="1:10" x14ac:dyDescent="0.2">
      <c r="F23" s="3" t="s">
        <v>59</v>
      </c>
      <c r="G23" s="3">
        <v>0.678102542005945</v>
      </c>
      <c r="I23" s="3" t="s">
        <v>59</v>
      </c>
      <c r="J23" s="3">
        <v>0.39868845800083402</v>
      </c>
    </row>
    <row r="24" spans="1:10" x14ac:dyDescent="0.2">
      <c r="B24" t="s">
        <v>83</v>
      </c>
      <c r="C24" t="s">
        <v>84</v>
      </c>
      <c r="F24" s="3" t="s">
        <v>59</v>
      </c>
      <c r="G24" s="3">
        <v>0.88297866700304395</v>
      </c>
      <c r="I24" s="3" t="s">
        <v>56</v>
      </c>
      <c r="J24" s="3">
        <v>0.56478466599946797</v>
      </c>
    </row>
    <row r="25" spans="1:10" x14ac:dyDescent="0.2">
      <c r="A25" t="s">
        <v>66</v>
      </c>
      <c r="B25">
        <v>0.73077879999999995</v>
      </c>
      <c r="C25">
        <v>0.73727719999999997</v>
      </c>
      <c r="F25" s="3" t="s">
        <v>59</v>
      </c>
      <c r="G25" s="3">
        <v>1.0246274589953801</v>
      </c>
      <c r="I25" s="3" t="s">
        <v>59</v>
      </c>
      <c r="J25" s="3">
        <v>0.75787291699816695</v>
      </c>
    </row>
    <row r="26" spans="1:10" x14ac:dyDescent="0.2">
      <c r="A26" t="s">
        <v>67</v>
      </c>
      <c r="B26">
        <v>0.69157579999999996</v>
      </c>
      <c r="C26">
        <v>0.71178680000000005</v>
      </c>
      <c r="F26" s="3" t="s">
        <v>56</v>
      </c>
      <c r="G26" s="3">
        <v>1.00676891700277</v>
      </c>
      <c r="I26" s="3" t="s">
        <v>59</v>
      </c>
      <c r="J26" s="3">
        <v>0.57406212500063702</v>
      </c>
    </row>
    <row r="27" spans="1:10" x14ac:dyDescent="0.2">
      <c r="F27" s="3" t="s">
        <v>56</v>
      </c>
      <c r="G27" s="3">
        <v>1.1370485840016</v>
      </c>
      <c r="I27" s="3" t="s">
        <v>56</v>
      </c>
      <c r="J27" s="3">
        <v>0.696012333006365</v>
      </c>
    </row>
    <row r="28" spans="1:10" x14ac:dyDescent="0.2">
      <c r="F28" s="3" t="s">
        <v>56</v>
      </c>
      <c r="G28" s="3">
        <v>1.1537077920001999</v>
      </c>
      <c r="I28" s="3" t="s">
        <v>56</v>
      </c>
      <c r="J28" s="3">
        <v>0.75015316699864298</v>
      </c>
    </row>
    <row r="29" spans="1:10" x14ac:dyDescent="0.2">
      <c r="F29" s="3" t="s">
        <v>59</v>
      </c>
      <c r="G29" s="3">
        <v>0.80741275000036705</v>
      </c>
      <c r="I29" s="3" t="s">
        <v>59</v>
      </c>
      <c r="J29" s="3">
        <v>0.88363429099990798</v>
      </c>
    </row>
    <row r="30" spans="1:10" x14ac:dyDescent="0.2">
      <c r="F30" s="3" t="s">
        <v>59</v>
      </c>
      <c r="G30" s="3">
        <v>0.62002887499693304</v>
      </c>
      <c r="I30" s="3" t="s">
        <v>56</v>
      </c>
      <c r="J30" s="3">
        <v>0.74767683299432997</v>
      </c>
    </row>
    <row r="31" spans="1:10" x14ac:dyDescent="0.2">
      <c r="F31" s="3" t="s">
        <v>56</v>
      </c>
      <c r="G31" s="3">
        <v>0.55954479099455101</v>
      </c>
      <c r="I31" s="3" t="s">
        <v>59</v>
      </c>
      <c r="J31" s="3">
        <v>0.55865291599911904</v>
      </c>
    </row>
    <row r="32" spans="1:10" x14ac:dyDescent="0.2">
      <c r="F32" s="3" t="s">
        <v>56</v>
      </c>
      <c r="G32" s="3">
        <v>0.63042020800639897</v>
      </c>
      <c r="I32" s="3" t="s">
        <v>56</v>
      </c>
      <c r="J32" s="3">
        <v>0.70669679200364</v>
      </c>
    </row>
    <row r="33" spans="6:10" x14ac:dyDescent="0.2">
      <c r="F33" s="3" t="s">
        <v>59</v>
      </c>
      <c r="G33" s="3">
        <v>0.62495112499891603</v>
      </c>
      <c r="I33" s="3" t="s">
        <v>59</v>
      </c>
      <c r="J33" s="3">
        <v>0.60156879199348601</v>
      </c>
    </row>
    <row r="34" spans="6:10" x14ac:dyDescent="0.2">
      <c r="F34" s="3" t="s">
        <v>56</v>
      </c>
      <c r="G34" s="3">
        <v>0.61124870899948303</v>
      </c>
      <c r="I34" s="3" t="s">
        <v>59</v>
      </c>
      <c r="J34" s="3">
        <v>0.64729387500119595</v>
      </c>
    </row>
    <row r="35" spans="6:10" x14ac:dyDescent="0.2">
      <c r="F35" s="3" t="s">
        <v>59</v>
      </c>
      <c r="G35" s="3">
        <v>0.62848529199982295</v>
      </c>
      <c r="I35" s="3" t="s">
        <v>56</v>
      </c>
      <c r="J35" s="3">
        <v>0.97739525000361005</v>
      </c>
    </row>
    <row r="36" spans="6:10" x14ac:dyDescent="0.2">
      <c r="F36" s="3" t="s">
        <v>56</v>
      </c>
      <c r="G36" s="3">
        <v>0.61027558299974805</v>
      </c>
      <c r="I36" s="3" t="s">
        <v>59</v>
      </c>
      <c r="J36" s="3">
        <v>1.3965151669981399</v>
      </c>
    </row>
    <row r="37" spans="6:10" x14ac:dyDescent="0.2">
      <c r="F37" s="3" t="s">
        <v>56</v>
      </c>
      <c r="G37" s="3">
        <v>0.65614274999825295</v>
      </c>
      <c r="I37" s="3" t="s">
        <v>56</v>
      </c>
      <c r="J37" s="3">
        <v>0.91983295899990503</v>
      </c>
    </row>
    <row r="38" spans="6:10" x14ac:dyDescent="0.2">
      <c r="F38" s="3" t="s">
        <v>59</v>
      </c>
      <c r="G38" s="3">
        <v>0.62571987499541104</v>
      </c>
      <c r="I38" s="3" t="s">
        <v>59</v>
      </c>
      <c r="J38" s="3">
        <v>0.58569858400005603</v>
      </c>
    </row>
    <row r="39" spans="6:10" x14ac:dyDescent="0.2">
      <c r="F39" s="3" t="s">
        <v>59</v>
      </c>
      <c r="G39" s="3">
        <v>0.51281370899960199</v>
      </c>
      <c r="I39" s="3" t="s">
        <v>56</v>
      </c>
      <c r="J39" s="3">
        <v>0.60076370799652101</v>
      </c>
    </row>
    <row r="40" spans="6:10" x14ac:dyDescent="0.2">
      <c r="F40" s="3" t="s">
        <v>59</v>
      </c>
      <c r="G40" s="3">
        <v>0.82362475000263702</v>
      </c>
      <c r="I40" s="3" t="s">
        <v>59</v>
      </c>
      <c r="J40" s="3">
        <v>0.65276566700049399</v>
      </c>
    </row>
    <row r="41" spans="6:10" x14ac:dyDescent="0.2">
      <c r="F41" s="3" t="s">
        <v>56</v>
      </c>
      <c r="G41" s="3">
        <v>0.55579887500061897</v>
      </c>
      <c r="I41" s="3" t="s">
        <v>56</v>
      </c>
      <c r="J41" s="3">
        <v>0.94367137499648401</v>
      </c>
    </row>
    <row r="42" spans="6:10" x14ac:dyDescent="0.2">
      <c r="F42" s="3" t="s">
        <v>56</v>
      </c>
      <c r="G42" s="3">
        <v>0.74981729200226299</v>
      </c>
      <c r="I42" s="3" t="s">
        <v>59</v>
      </c>
      <c r="J42" s="3">
        <v>0.74800062499707598</v>
      </c>
    </row>
    <row r="43" spans="6:10" x14ac:dyDescent="0.2">
      <c r="F43" s="3" t="s">
        <v>59</v>
      </c>
      <c r="G43" s="3">
        <v>0.61699379199853899</v>
      </c>
      <c r="I43" s="3" t="s">
        <v>56</v>
      </c>
      <c r="J43" s="3">
        <v>1.2131967910026999</v>
      </c>
    </row>
    <row r="44" spans="6:10" x14ac:dyDescent="0.2">
      <c r="F44" s="2"/>
      <c r="G44" s="2"/>
      <c r="I44" s="2"/>
      <c r="J4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</vt:lpstr>
      <vt:lpstr>H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2026-09-06T13:03:29Z</dcterms:created>
  <dcterms:modified xsi:type="dcterms:W3CDTF">2026-09-08T09:27:48Z</dcterms:modified>
</cp:coreProperties>
</file>